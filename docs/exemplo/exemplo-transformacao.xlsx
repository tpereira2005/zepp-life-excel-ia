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Resumo Mensal" sheetId="2" state="visible" r:id="rId2"/>
    <sheet name="Resumo Semanal" sheetId="3" state="visible" r:id="rId3"/>
    <sheet name="Medidas Manuais" sheetId="4" state="visible" r:id="rId4"/>
    <sheet name="Medições Corporais" sheetId="5" state="visible" r:id="rId5"/>
    <sheet name="Critérios e Qua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6">
    <numFmt numFmtId="164" formatCode="yyyy-mm-dd h:mm:ss"/>
    <numFmt numFmtId="165" formatCode="dd/mm/yyyy hh:mm"/>
    <numFmt numFmtId="166" formatCode="0.0"/>
    <numFmt numFmtId="167" formatCode="dd/mm/yyyy"/>
    <numFmt numFmtId="168" formatCode="dd/mm/yyyy hh:mm:ss"/>
    <numFmt numFmtId="169" formatCode="yyyy-mm-dd"/>
    <numFmt numFmtId="170" formatCode="+0.0;-0.0;0.0"/>
    <numFmt numFmtId="171" formatCode="+0.00;-0.00;0.00"/>
    <numFmt numFmtId="172" formatCode="[$-816]mmmm yyyy"/>
    <numFmt numFmtId="173" formatCode="0.00 &quot;kg&quot;"/>
    <numFmt numFmtId="174" formatCode="+0.00 &quot;kg&quot;;-0.00 &quot;kg&quot;;0.00 &quot;kg&quot;"/>
    <numFmt numFmtId="175" formatCode="+0.00 &quot;kg/sem.&quot;;-0.00 &quot;kg/sem.&quot;;0.00 &quot;kg/sem.&quot;"/>
    <numFmt numFmtId="176" formatCode="0.0 &quot;%&quot;"/>
    <numFmt numFmtId="177" formatCode="+0.0 &quot;pp&quot;;-0.0 &quot;pp&quot;;0.0 &quot;pp&quot;"/>
    <numFmt numFmtId="178" formatCode="0.0 &quot;cm&quot;"/>
    <numFmt numFmtId="179" formatCode="+0.0 &quot;cm&quot;;-0.0 &quot;cm&quot;;0.0 &quot;cm&quot;"/>
  </numFmts>
  <fonts count="8">
    <font>
      <name val="Calibri"/>
      <family val="2"/>
      <color theme="1"/>
      <sz val="11"/>
      <scheme val="minor"/>
    </font>
    <font>
      <name val="Arial"/>
      <b val="1"/>
      <color rgb="00243447"/>
      <sz val="16"/>
    </font>
    <font>
      <name val="Arial"/>
      <i val="1"/>
      <color rgb="0052616B"/>
      <sz val="9"/>
    </font>
    <font>
      <name val="Arial"/>
      <b val="1"/>
      <color rgb="00263238"/>
      <sz val="10"/>
    </font>
    <font>
      <name val="Arial"/>
      <color rgb="00263238"/>
      <sz val="10"/>
    </font>
    <font>
      <name val="Arial"/>
      <b val="1"/>
      <color rgb="0052616B"/>
      <sz val="11"/>
    </font>
    <font>
      <name val="Arial"/>
      <b val="1"/>
      <color rgb="00263238"/>
      <sz val="24"/>
    </font>
    <font>
      <name val="Arial"/>
      <b val="1"/>
      <color rgb="00243447"/>
      <sz val="12"/>
    </font>
  </fonts>
  <fills count="8">
    <fill>
      <patternFill/>
    </fill>
    <fill>
      <patternFill patternType="gray125"/>
    </fill>
    <fill>
      <patternFill patternType="solid">
        <fgColor rgb="00E8EDF3"/>
      </patternFill>
    </fill>
    <fill>
      <patternFill patternType="solid">
        <fgColor rgb="00FFF7D6"/>
      </patternFill>
    </fill>
    <fill>
      <patternFill patternType="solid">
        <fgColor rgb="00EAF0FF"/>
      </patternFill>
    </fill>
    <fill>
      <patternFill patternType="solid">
        <fgColor rgb="00E5F5EC"/>
      </patternFill>
    </fill>
    <fill>
      <patternFill patternType="solid">
        <fgColor rgb="00FFF3D6"/>
      </patternFill>
    </fill>
    <fill>
      <patternFill patternType="solid">
        <fgColor rgb="00F4F7F9"/>
      </patternFill>
    </fill>
  </fills>
  <borders count="10">
    <border>
      <left/>
      <right/>
      <top/>
      <bottom/>
      <diagonal/>
    </border>
    <border>
      <bottom style="thin">
        <color rgb="00D7DEE3"/>
      </bottom>
    </border>
    <border>
      <left style="thin">
        <color rgb="00D7DEE3"/>
      </left>
      <top style="thin">
        <color rgb="00D7DEE3"/>
      </top>
    </border>
    <border>
      <top style="thin">
        <color rgb="00D7DEE3"/>
      </top>
    </border>
    <border>
      <right style="thin">
        <color rgb="00D7DEE3"/>
      </right>
      <top style="thin">
        <color rgb="00D7DEE3"/>
      </top>
    </border>
    <border>
      <left style="thin">
        <color rgb="00D7DEE3"/>
      </left>
    </border>
    <border/>
    <border>
      <right style="thin">
        <color rgb="00D7DEE3"/>
      </right>
    </border>
    <border>
      <left style="thin">
        <color rgb="00D7DEE3"/>
      </left>
      <bottom style="thin">
        <color rgb="00D7DEE3"/>
      </bottom>
    </border>
    <border>
      <right style="thin">
        <color rgb="00D7DEE3"/>
      </right>
      <bottom style="thin">
        <color rgb="00D7DEE3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4" borderId="4" pivotButton="0" quotePrefix="0" xfId="0"/>
    <xf numFmtId="0" fontId="5" fillId="7" borderId="2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4" pivotButton="0" quotePrefix="0" xfId="0"/>
    <xf numFmtId="173" fontId="6" fillId="4" borderId="5" applyAlignment="1" pivotButton="0" quotePrefix="0" xfId="0">
      <alignment horizontal="center" vertical="center"/>
    </xf>
    <xf numFmtId="0" fontId="0" fillId="4" borderId="6" pivotButton="0" quotePrefix="0" xfId="0"/>
    <xf numFmtId="0" fontId="0" fillId="4" borderId="7" pivotButton="0" quotePrefix="0" xfId="0"/>
    <xf numFmtId="174" fontId="6" fillId="7" borderId="5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175" fontId="6" fillId="7" borderId="5" applyAlignment="1" pivotButton="0" quotePrefix="0" xfId="0">
      <alignment horizontal="center" vertical="center"/>
    </xf>
    <xf numFmtId="0" fontId="0" fillId="4" borderId="5" pivotButton="0" quotePrefix="0" xfId="0"/>
    <xf numFmtId="0" fontId="0" fillId="7" borderId="5" pivotButton="0" quotePrefix="0" xfId="0"/>
    <xf numFmtId="0" fontId="2" fillId="4" borderId="8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9" pivotButton="0" quotePrefix="0" xfId="0"/>
    <xf numFmtId="0" fontId="2" fillId="7" borderId="8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9" pivotButton="0" quotePrefix="0" xfId="0"/>
    <xf numFmtId="0" fontId="5" fillId="6" borderId="2" applyAlignment="1" pivotButton="0" quotePrefix="0" xfId="0">
      <alignment horizontal="center" vertical="center"/>
    </xf>
    <xf numFmtId="0" fontId="0" fillId="6" borderId="3" pivotButton="0" quotePrefix="0" xfId="0"/>
    <xf numFmtId="0" fontId="0" fillId="6" borderId="4" pivotButton="0" quotePrefix="0" xfId="0"/>
    <xf numFmtId="0" fontId="5" fillId="5" borderId="2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4" pivotButton="0" quotePrefix="0" xfId="0"/>
    <xf numFmtId="176" fontId="6" fillId="6" borderId="5" applyAlignment="1" pivotButton="0" quotePrefix="0" xfId="0">
      <alignment horizontal="center" vertical="center"/>
    </xf>
    <xf numFmtId="0" fontId="0" fillId="6" borderId="6" pivotButton="0" quotePrefix="0" xfId="0"/>
    <xf numFmtId="0" fontId="0" fillId="6" borderId="7" pivotButton="0" quotePrefix="0" xfId="0"/>
    <xf numFmtId="177" fontId="6" fillId="7" borderId="5" applyAlignment="1" pivotButton="0" quotePrefix="0" xfId="0">
      <alignment horizontal="center" vertical="center"/>
    </xf>
    <xf numFmtId="173" fontId="6" fillId="5" borderId="5" applyAlignment="1" pivotButton="0" quotePrefix="0" xfId="0">
      <alignment horizontal="center" vertical="center"/>
    </xf>
    <xf numFmtId="0" fontId="0" fillId="5" borderId="6" pivotButton="0" quotePrefix="0" xfId="0"/>
    <xf numFmtId="0" fontId="0" fillId="5" borderId="7" pivotButton="0" quotePrefix="0" xfId="0"/>
    <xf numFmtId="0" fontId="0" fillId="6" borderId="5" pivotButton="0" quotePrefix="0" xfId="0"/>
    <xf numFmtId="0" fontId="0" fillId="5" borderId="5" pivotButton="0" quotePrefix="0" xfId="0"/>
    <xf numFmtId="0" fontId="2" fillId="6" borderId="8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9" pivotButton="0" quotePrefix="0" xfId="0"/>
    <xf numFmtId="0" fontId="2" fillId="5" borderId="8" applyAlignment="1" pivotButton="0" quotePrefix="0" xfId="0">
      <alignment horizontal="center" vertical="center"/>
    </xf>
    <xf numFmtId="0" fontId="0" fillId="5" borderId="1" pivotButton="0" quotePrefix="0" xfId="0"/>
    <xf numFmtId="0" fontId="0" fillId="5" borderId="9" pivotButton="0" quotePrefix="0" xfId="0"/>
    <xf numFmtId="178" fontId="6" fillId="6" borderId="5" applyAlignment="1" pivotButton="0" quotePrefix="0" xfId="0">
      <alignment horizontal="center" vertical="center"/>
    </xf>
    <xf numFmtId="179" fontId="6" fillId="7" borderId="5" applyAlignment="1" pivotButton="0" quotePrefix="0" xfId="0">
      <alignment horizontal="center" vertical="center"/>
    </xf>
    <xf numFmtId="178" fontId="6" fillId="4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72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vertical="center"/>
    </xf>
    <xf numFmtId="171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70" fontId="4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7" fontId="4" fillId="3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5" fontId="4" fillId="0" borderId="0" pivotButton="0" quotePrefix="0" xfId="0"/>
    <xf numFmtId="2" fontId="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ont>
        <color rgb="009AA7B0"/>
      </font>
    </dxf>
    <dxf>
      <font>
        <color rgb="00C76D00"/>
      </font>
      <fill>
        <patternFill patternType="solid">
          <bgColor rgb="00FFF7D6"/>
        </patternFill>
      </fill>
    </dxf>
    <dxf>
      <font>
        <color rgb="002E7D5B"/>
      </font>
      <fill>
        <patternFill patternType="solid">
          <bgColor rgb="00E5F5EC"/>
        </patternFill>
      </fill>
    </dxf>
    <dxf>
      <font>
        <color rgb="00B9382E"/>
      </font>
      <fill>
        <patternFill patternType="solid">
          <bgColor rgb="00FCE8E6"/>
        </patternFill>
      </fill>
    </dxf>
    <dxf>
      <font>
        <color rgb="0052616B"/>
      </font>
      <fill>
        <patternFill patternType="solid">
          <bgColor rgb="00F4F7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243447"/>
                </a:solidFill>
                <a:latin typeface="Arial"/>
              </a:defRPr>
            </a:pPr>
            <a:r>
              <a:rPr sz="1200" b="1">
                <a:solidFill>
                  <a:srgbClr val="243447"/>
                </a:solidFill>
                <a:latin typeface="Arial"/>
              </a:rPr>
              <a:t>Peso (kg)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Leituras</v>
          </tx>
          <spPr>
            <a:ln>
              <a:noFill/>
              <a:prstDash val="solid"/>
            </a:ln>
          </spPr>
          <marker>
            <symbol val="circle"/>
            <size val="4"/>
            <spPr>
              <a:solidFill>
                <a:srgbClr val="9AA7B0"/>
              </a:solidFill>
              <a:ln>
                <a:noFill/>
                <a:prstDash val="solid"/>
              </a:ln>
            </spPr>
          </marker>
          <xVal>
            <numRef>
              <f>'Medições Corporais'!$A$4:$A$147</f>
            </numRef>
          </xVal>
          <yVal>
            <numRef>
              <f>'Medições Corporais'!$B$4:$B$147</f>
            </numRef>
          </yVal>
          <smooth val="0"/>
        </ser>
        <ser>
          <idx val="1"/>
          <order val="1"/>
          <tx>
            <v>Média móvel de 7 dias</v>
          </tx>
          <spPr>
            <a:ln w="28575">
              <a:solidFill>
                <a:srgbClr val="2F6B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'Medições Corporais'!$A$4:$A$147</f>
            </numRef>
          </xVal>
          <yVal>
            <numRef>
              <f>'Medições Corporais'!$N$4:$N$147</f>
            </numRef>
          </yVal>
          <smooth val="0"/>
        </ser>
        <axId val="10"/>
        <axId val="20"/>
      </scatterChart>
      <valAx>
        <axId val="10"/>
        <scaling>
          <orientation val="minMax"/>
          <max val="46176"/>
          <min val="46026"/>
        </scaling>
        <delete val="0"/>
        <axPos val="l"/>
        <numFmt formatCode="dd/mm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20"/>
        <majorUnit val="28"/>
      </valAx>
      <valAx>
        <axId val="20"/>
        <scaling>
          <orientation val="minMax"/>
          <max val="87.5"/>
          <min val="75"/>
        </scaling>
        <delete val="0"/>
        <axPos val="l"/>
        <majorGridlines>
          <spPr>
            <a:ln>
              <a:solidFill>
                <a:srgbClr val="EEF1F4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52616B"/>
                    </a:solidFill>
                    <a:latin typeface="Arial"/>
                  </a:defRPr>
                </a:pPr>
                <a:r>
                  <a:rPr sz="900" b="0">
                    <a:solidFill>
                      <a:srgbClr val="52616B"/>
                    </a:solidFill>
                    <a:latin typeface="Arial"/>
                  </a:rPr>
                  <a:t>kg</a:t>
                </a:r>
              </a:p>
            </rich>
          </tx>
          <overlay val="0"/>
        </title>
        <numFmt formatCode="0.0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10"/>
        <majorUnit val="2.5"/>
      </valAx>
    </plotArea>
    <legend>
      <legendPos val="t"/>
      <overlay val="0"/>
      <txPr>
        <a:bodyPr/>
        <a:p>
          <a:pPr>
            <a:defRPr sz="900" b="0">
              <a:solidFill>
                <a:srgbClr val="52616B"/>
              </a:solidFill>
              <a:latin typeface="Arial"/>
            </a:defRPr>
          </a:pPr>
          <a:r>
            <a:t/>
          </a:r>
          <a:endParaRPr sz="900" b="0">
            <a:solidFill>
              <a:srgbClr val="52616B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243447"/>
                </a:solidFill>
                <a:latin typeface="Arial"/>
              </a:defRPr>
            </a:pPr>
            <a:r>
              <a:rPr sz="1200" b="1">
                <a:solidFill>
                  <a:srgbClr val="243447"/>
                </a:solidFill>
                <a:latin typeface="Arial"/>
              </a:rPr>
              <a:t>Gordura corporal (%)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Leituras</v>
          </tx>
          <spPr>
            <a:ln>
              <a:noFill/>
              <a:prstDash val="solid"/>
            </a:ln>
          </spPr>
          <marker>
            <symbol val="circle"/>
            <size val="4"/>
            <spPr>
              <a:solidFill>
                <a:srgbClr val="9AA7B0"/>
              </a:solidFill>
              <a:ln>
                <a:noFill/>
                <a:prstDash val="solid"/>
              </a:ln>
            </spPr>
          </marker>
          <xVal>
            <numRef>
              <f>'Medições Corporais'!$A$4:$A$147</f>
            </numRef>
          </xVal>
          <yVal>
            <numRef>
              <f>'Medições Corporais'!$D$4:$D$147</f>
            </numRef>
          </yVal>
          <smooth val="0"/>
        </ser>
        <ser>
          <idx val="1"/>
          <order val="1"/>
          <tx>
            <v>Média móvel de 7 dias</v>
          </tx>
          <spPr>
            <a:ln w="28575">
              <a:solidFill>
                <a:srgbClr val="C76D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'Medições Corporais'!$A$4:$A$147</f>
            </numRef>
          </xVal>
          <yVal>
            <numRef>
              <f>'Medições Corporais'!$O$4:$O$147</f>
            </numRef>
          </yVal>
          <smooth val="0"/>
        </ser>
        <axId val="10"/>
        <axId val="20"/>
      </scatterChart>
      <valAx>
        <axId val="10"/>
        <scaling>
          <orientation val="minMax"/>
          <max val="46176"/>
          <min val="46026"/>
        </scaling>
        <delete val="0"/>
        <axPos val="l"/>
        <numFmt formatCode="dd/mm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20"/>
        <majorUnit val="28"/>
      </valAx>
      <valAx>
        <axId val="20"/>
        <scaling>
          <orientation val="minMax"/>
          <max val="28"/>
          <min val="18"/>
        </scaling>
        <delete val="0"/>
        <axPos val="l"/>
        <majorGridlines>
          <spPr>
            <a:ln>
              <a:solidFill>
                <a:srgbClr val="EEF1F4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52616B"/>
                    </a:solidFill>
                    <a:latin typeface="Arial"/>
                  </a:defRPr>
                </a:pPr>
                <a:r>
                  <a:rPr sz="900" b="0">
                    <a:solidFill>
                      <a:srgbClr val="52616B"/>
                    </a:solidFill>
                    <a:latin typeface="Arial"/>
                  </a:rPr>
                  <a:t>%</a:t>
                </a:r>
              </a:p>
            </rich>
          </tx>
          <overlay val="0"/>
        </title>
        <numFmt formatCode="0.0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10"/>
        <majorUnit val="2"/>
      </valAx>
    </plotArea>
    <legend>
      <legendPos val="t"/>
      <overlay val="0"/>
      <txPr>
        <a:bodyPr/>
        <a:p>
          <a:pPr>
            <a:defRPr sz="900" b="0">
              <a:solidFill>
                <a:srgbClr val="52616B"/>
              </a:solidFill>
              <a:latin typeface="Arial"/>
            </a:defRPr>
          </a:pPr>
          <a:r>
            <a:t/>
          </a:r>
          <a:endParaRPr sz="900" b="0">
            <a:solidFill>
              <a:srgbClr val="52616B"/>
            </a:solidFill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243447"/>
                </a:solidFill>
                <a:latin typeface="Arial"/>
              </a:defRPr>
            </a:pPr>
            <a:r>
              <a:rPr sz="1200" b="1">
                <a:solidFill>
                  <a:srgbClr val="243447"/>
                </a:solidFill>
                <a:latin typeface="Arial"/>
              </a:rPr>
              <a:t>Massa muscular (kg)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Leituras</v>
          </tx>
          <spPr>
            <a:ln>
              <a:noFill/>
              <a:prstDash val="solid"/>
            </a:ln>
          </spPr>
          <marker>
            <symbol val="circle"/>
            <size val="4"/>
            <spPr>
              <a:solidFill>
                <a:srgbClr val="9AA7B0"/>
              </a:solidFill>
              <a:ln>
                <a:noFill/>
                <a:prstDash val="solid"/>
              </a:ln>
            </spPr>
          </marker>
          <xVal>
            <numRef>
              <f>'Medições Corporais'!$A$4:$A$147</f>
            </numRef>
          </xVal>
          <yVal>
            <numRef>
              <f>'Medições Corporais'!$G$4:$G$147</f>
            </numRef>
          </yVal>
          <smooth val="0"/>
        </ser>
        <ser>
          <idx val="1"/>
          <order val="1"/>
          <tx>
            <v>Média móvel de 7 dias</v>
          </tx>
          <spPr>
            <a:ln w="28575">
              <a:solidFill>
                <a:srgbClr val="2E7D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'Medições Corporais'!$A$4:$A$147</f>
            </numRef>
          </xVal>
          <yVal>
            <numRef>
              <f>'Medições Corporais'!$P$4:$P$147</f>
            </numRef>
          </yVal>
          <smooth val="0"/>
        </ser>
        <axId val="10"/>
        <axId val="20"/>
      </scatterChart>
      <valAx>
        <axId val="10"/>
        <scaling>
          <orientation val="minMax"/>
          <max val="46176"/>
          <min val="46026"/>
        </scaling>
        <delete val="0"/>
        <axPos val="l"/>
        <numFmt formatCode="dd/mm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20"/>
        <majorUnit val="28"/>
      </valAx>
      <valAx>
        <axId val="20"/>
        <scaling>
          <orientation val="minMax"/>
          <max val="62"/>
          <min val="57"/>
        </scaling>
        <delete val="0"/>
        <axPos val="l"/>
        <majorGridlines>
          <spPr>
            <a:ln>
              <a:solidFill>
                <a:srgbClr val="EEF1F4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52616B"/>
                    </a:solidFill>
                    <a:latin typeface="Arial"/>
                  </a:defRPr>
                </a:pPr>
                <a:r>
                  <a:rPr sz="900" b="0">
                    <a:solidFill>
                      <a:srgbClr val="52616B"/>
                    </a:solidFill>
                    <a:latin typeface="Arial"/>
                  </a:rPr>
                  <a:t>kg</a:t>
                </a:r>
              </a:p>
            </rich>
          </tx>
          <overlay val="0"/>
        </title>
        <numFmt formatCode="0.0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10"/>
        <majorUnit val="1"/>
      </valAx>
    </plotArea>
    <legend>
      <legendPos val="t"/>
      <overlay val="0"/>
      <txPr>
        <a:bodyPr/>
        <a:p>
          <a:pPr>
            <a:defRPr sz="900" b="0">
              <a:solidFill>
                <a:srgbClr val="52616B"/>
              </a:solidFill>
              <a:latin typeface="Arial"/>
            </a:defRPr>
          </a:pPr>
          <a:r>
            <a:t/>
          </a:r>
          <a:endParaRPr sz="900" b="0">
            <a:solidFill>
              <a:srgbClr val="52616B"/>
            </a:solidFill>
            <a:latin typeface="Arial"/>
          </a:endParaRP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243447"/>
                </a:solidFill>
                <a:latin typeface="Arial"/>
              </a:defRPr>
            </a:pPr>
            <a:r>
              <a:rPr sz="1200" b="1">
                <a:solidFill>
                  <a:srgbClr val="243447"/>
                </a:solidFill>
                <a:latin typeface="Arial"/>
              </a:rPr>
              <a:t>Cintura (cm)</a:t>
            </a:r>
          </a:p>
        </rich>
      </tx>
      <overlay val="0"/>
    </title>
    <plotArea>
      <lineChart>
        <grouping val="standard"/>
        <ser>
          <idx val="0"/>
          <order val="0"/>
          <spPr>
            <a:ln w="25400">
              <a:solidFill>
                <a:srgbClr val="C76D00"/>
              </a:solidFill>
              <a:prstDash val="solid"/>
            </a:ln>
          </spPr>
          <marker>
            <symbol val="circle"/>
            <size val="5"/>
            <spPr>
              <a:solidFill>
                <a:srgbClr val="C76D00"/>
              </a:solidFill>
              <a:ln>
                <a:solidFill>
                  <a:srgbClr val="C76D00"/>
                </a:solidFill>
                <a:prstDash val="solid"/>
              </a:ln>
            </spPr>
          </marker>
          <dPt>
            <idx val="5"/>
            <marker>
              <symbol val="circle"/>
              <size val="5"/>
              <spPr>
                <a:solidFill>
                  <a:srgbClr val="C76D00"/>
                </a:solidFill>
                <a:ln>
                  <a:solidFill>
                    <a:srgbClr val="C76D00"/>
                  </a:solidFill>
                  <a:prstDash val="solid"/>
                </a:ln>
              </spPr>
            </marker>
            <spPr>
              <a:ln w="25400">
                <a:solidFill>
                  <a:srgbClr val="C76D00"/>
                </a:solidFill>
                <a:prstDash val="dash"/>
              </a:ln>
            </spPr>
          </dPt>
          <dPt>
            <idx val="8"/>
            <marker>
              <symbol val="circle"/>
              <size val="5"/>
              <spPr>
                <a:solidFill>
                  <a:srgbClr val="C76D00"/>
                </a:solidFill>
                <a:ln>
                  <a:solidFill>
                    <a:srgbClr val="C76D00"/>
                  </a:solidFill>
                  <a:prstDash val="solid"/>
                </a:ln>
              </spPr>
            </marker>
            <spPr>
              <a:ln w="25400">
                <a:solidFill>
                  <a:srgbClr val="C76D00"/>
                </a:solidFill>
                <a:prstDash val="dash"/>
              </a:ln>
            </spPr>
          </dPt>
          <cat>
            <numRef>
              <f>'Medidas Manuais'!$B$4:$B$25</f>
            </numRef>
          </cat>
          <val>
            <numRef>
              <f>'Medidas Manuais'!$C$4:$C$25</f>
            </numRef>
          </val>
          <smooth val="0"/>
        </ser>
        <axId val="500"/>
        <axId val="100"/>
      </lineChart>
      <dateAx>
        <axId val="500"/>
        <scaling>
          <orientation val="minMax"/>
          <max val="46173"/>
          <min val="46026"/>
        </scaling>
        <delete val="0"/>
        <axPos val="l"/>
        <numFmt formatCode="dd/mm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100"/>
        <baseTimeUnit val="days"/>
        <majorUnit val="28"/>
        <majorTimeUnit val="days"/>
      </dateAx>
      <valAx>
        <axId val="100"/>
        <scaling>
          <orientation val="minMax"/>
          <max val="97.5"/>
          <min val="82.5"/>
        </scaling>
        <delete val="0"/>
        <axPos val="l"/>
        <majorGridlines>
          <spPr>
            <a:ln>
              <a:solidFill>
                <a:srgbClr val="EEF1F4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500"/>
        <majorUnit val="2.5"/>
      </valAx>
    </plotArea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243447"/>
                </a:solidFill>
                <a:latin typeface="Arial"/>
              </a:defRPr>
            </a:pPr>
            <a:r>
              <a:rPr sz="1200" b="1">
                <a:solidFill>
                  <a:srgbClr val="243447"/>
                </a:solidFill>
                <a:latin typeface="Arial"/>
              </a:rPr>
              <a:t>Pescoço (cm)</a:t>
            </a:r>
          </a:p>
        </rich>
      </tx>
      <overlay val="0"/>
    </title>
    <plotArea>
      <lineChart>
        <grouping val="standard"/>
        <ser>
          <idx val="0"/>
          <order val="0"/>
          <spPr>
            <a:ln w="25400">
              <a:solidFill>
                <a:srgbClr val="2F6BFF"/>
              </a:solidFill>
              <a:prstDash val="solid"/>
            </a:ln>
          </spPr>
          <marker>
            <symbol val="circle"/>
            <size val="5"/>
            <spPr>
              <a:solidFill>
                <a:srgbClr val="2F6BFF"/>
              </a:solidFill>
              <a:ln>
                <a:solidFill>
                  <a:srgbClr val="2F6BFF"/>
                </a:solidFill>
                <a:prstDash val="solid"/>
              </a:ln>
            </spPr>
          </marker>
          <dPt>
            <idx val="5"/>
            <marker>
              <symbol val="circle"/>
              <size val="5"/>
              <spPr>
                <a:solidFill>
                  <a:srgbClr val="2F6BFF"/>
                </a:solidFill>
                <a:ln>
                  <a:solidFill>
                    <a:srgbClr val="2F6BFF"/>
                  </a:solidFill>
                  <a:prstDash val="solid"/>
                </a:ln>
              </spPr>
            </marker>
            <spPr>
              <a:ln w="25400">
                <a:solidFill>
                  <a:srgbClr val="2F6BFF"/>
                </a:solidFill>
                <a:prstDash val="dash"/>
              </a:ln>
            </spPr>
          </dPt>
          <dPt>
            <idx val="8"/>
            <marker>
              <symbol val="circle"/>
              <size val="5"/>
              <spPr>
                <a:solidFill>
                  <a:srgbClr val="2F6BFF"/>
                </a:solidFill>
                <a:ln>
                  <a:solidFill>
                    <a:srgbClr val="2F6BFF"/>
                  </a:solidFill>
                  <a:prstDash val="solid"/>
                </a:ln>
              </spPr>
            </marker>
            <spPr>
              <a:ln w="25400">
                <a:solidFill>
                  <a:srgbClr val="2F6BFF"/>
                </a:solidFill>
                <a:prstDash val="dash"/>
              </a:ln>
            </spPr>
          </dPt>
          <cat>
            <numRef>
              <f>'Medidas Manuais'!$B$4:$B$25</f>
            </numRef>
          </cat>
          <val>
            <numRef>
              <f>'Medidas Manuais'!$E$4:$E$25</f>
            </numRef>
          </val>
          <smooth val="0"/>
        </ser>
        <axId val="500"/>
        <axId val="100"/>
      </lineChart>
      <dateAx>
        <axId val="500"/>
        <scaling>
          <orientation val="minMax"/>
          <max val="46173"/>
          <min val="46026"/>
        </scaling>
        <delete val="0"/>
        <axPos val="l"/>
        <numFmt formatCode="dd/mm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100"/>
        <baseTimeUnit val="days"/>
        <majorUnit val="28"/>
        <majorTimeUnit val="days"/>
      </dateAx>
      <valAx>
        <axId val="100"/>
        <scaling>
          <orientation val="minMax"/>
          <max val="42"/>
          <min val="37"/>
        </scaling>
        <delete val="0"/>
        <axPos val="l"/>
        <majorGridlines>
          <spPr>
            <a:ln>
              <a:solidFill>
                <a:srgbClr val="EEF1F4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>
            <a:solidFill>
              <a:srgbClr val="D7DEE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616B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616B"/>
              </a:solidFill>
              <a:latin typeface="Arial"/>
            </a:endParaRPr>
          </a:p>
        </txPr>
        <crossAx val="500"/>
        <majorUnit val="1"/>
      </valAx>
    </plotArea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21</row>
      <rowOff>0</rowOff>
    </from>
    <to>
      <col>16</col>
      <colOff>0</colOff>
      <row>39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</col>
      <colOff>0</colOff>
      <row>40</row>
      <rowOff>0</rowOff>
    </from>
    <to>
      <col>16</col>
      <colOff>0</colOff>
      <row>58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59</row>
      <rowOff>0</rowOff>
    </from>
    <to>
      <col>16</col>
      <colOff>0</colOff>
      <row>77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1</col>
      <colOff>0</colOff>
      <row>78</row>
      <rowOff>0</rowOff>
    </from>
    <to>
      <col>8</col>
      <colOff>0</colOff>
      <row>96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9</col>
      <colOff>0</colOff>
      <row>78</row>
      <rowOff>0</rowOff>
    </from>
    <to>
      <col>16</col>
      <colOff>0</colOff>
      <row>96</row>
      <rowOff>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ResumoMensal" displayName="tblResumoMensal" ref="A3:U9" headerRowCount="1">
  <autoFilter ref="A3:U9"/>
  <tableColumns count="21">
    <tableColumn id="1" name="Mês"/>
    <tableColumn id="2" name="Início"/>
    <tableColumn id="3" name="Fim"/>
    <tableColumn id="4" name="Leituras"/>
    <tableColumn id="5" name="Dias com medição"/>
    <tableColumn id="6" name="Período parcial"/>
    <tableColumn id="7" name="Peso médio (kg)"/>
    <tableColumn id="8" name="Variação do peso (kg)"/>
    <tableColumn id="9" name="Gordura média (%)"/>
    <tableColumn id="10" name="Variação da gordura (pp)"/>
    <tableColumn id="11" name="Músculo médio (kg)"/>
    <tableColumn id="12" name="Massa gorda média (kg)"/>
    <tableColumn id="13" name="Água média (%)"/>
    <tableColumn id="14" name="Proteína média (%)"/>
    <tableColumn id="15" name="Massa óssea média (kg)"/>
    <tableColumn id="16" name="IMC médio"/>
    <tableColumn id="17" name="Gordura visceral média (índice)"/>
    <tableColumn id="18" name="Idade corporal média (anos)"/>
    <tableColumn id="19" name="Pontuação corporal média"/>
    <tableColumn id="20" name="Cintura média (cm)"/>
    <tableColumn id="21" name="Pescoço médio (cm)"/>
  </tableColumns>
  <tableStyleInfo name="TableStyleLight9" showRowStripes="1"/>
</table>
</file>

<file path=xl/tables/table2.xml><?xml version="1.0" encoding="utf-8"?>
<table xmlns="http://schemas.openxmlformats.org/spreadsheetml/2006/main" id="2" name="tblResumoSemanal" displayName="tblResumoSemanal" ref="A3:V25" headerRowCount="1">
  <autoFilter ref="A3:V25"/>
  <tableColumns count="22">
    <tableColumn id="1" name="Semana"/>
    <tableColumn id="2" name="Início"/>
    <tableColumn id="3" name="Fim"/>
    <tableColumn id="4" name="Leituras"/>
    <tableColumn id="5" name="Dias com medição"/>
    <tableColumn id="6" name="Período parcial"/>
    <tableColumn id="7" name="Peso médio (kg)"/>
    <tableColumn id="8" name="Variação do peso (kg)"/>
    <tableColumn id="9" name="Gordura média (%)"/>
    <tableColumn id="10" name="Variação da gordura (pp)"/>
    <tableColumn id="11" name="Músculo médio (kg)"/>
    <tableColumn id="12" name="Massa gorda média (kg)"/>
    <tableColumn id="13" name="Água média (%)"/>
    <tableColumn id="14" name="Proteína média (%)"/>
    <tableColumn id="15" name="Massa óssea média (kg)"/>
    <tableColumn id="16" name="IMC médio"/>
    <tableColumn id="17" name="Gordura visceral média (índice)"/>
    <tableColumn id="18" name="Idade corporal média (anos)"/>
    <tableColumn id="19" name="Pontuação corporal média"/>
    <tableColumn id="20" name="Cintura (cm)"/>
    <tableColumn id="21" name="Variação da cintura (cm)"/>
    <tableColumn id="22" name="Pescoço (cm)"/>
  </tableColumns>
  <tableStyleInfo name="TableStyleLight9" showRowStripes="1"/>
</table>
</file>

<file path=xl/tables/table3.xml><?xml version="1.0" encoding="utf-8"?>
<table xmlns="http://schemas.openxmlformats.org/spreadsheetml/2006/main" id="3" name="tblMedidasManuais" displayName="tblMedidasManuais" ref="A3:G25" headerRowCount="1">
  <autoFilter ref="A3:G25"/>
  <tableColumns count="7">
    <tableColumn id="1" name="Semana"/>
    <tableColumn id="2" name="Data da medição"/>
    <tableColumn id="3" name="Cintura (cm)"/>
    <tableColumn id="4" name="Variação da cintura (cm)"/>
    <tableColumn id="5" name="Pescoço (cm)"/>
    <tableColumn id="6" name="Estado"/>
    <tableColumn id="7" name="Observações"/>
  </tableColumns>
  <tableStyleInfo name="TableStyleLight9" showRowStripes="1"/>
</table>
</file>

<file path=xl/tables/table4.xml><?xml version="1.0" encoding="utf-8"?>
<table xmlns="http://schemas.openxmlformats.org/spreadsheetml/2006/main" id="4" name="tblCorpo" displayName="tblCorpo" ref="A3:R147" headerRowCount="1">
  <autoFilter ref="A3:R147"/>
  <tableColumns count="18">
    <tableColumn id="1" name="Data/hora"/>
    <tableColumn id="2" name="Peso (kg)"/>
    <tableColumn id="3" name="IMC"/>
    <tableColumn id="4" name="Gordura (%)"/>
    <tableColumn id="5" name="Água corporal (%)"/>
    <tableColumn id="6" name="Massa óssea (kg)"/>
    <tableColumn id="7" name="Massa muscular (kg)"/>
    <tableColumn id="8" name="Proteína (%)"/>
    <tableColumn id="9" name="Massa gorda (kg)"/>
    <tableColumn id="10" name="Gordura visceral (índice)"/>
    <tableColumn id="11" name="Metabolismo basal (kcal/dia)"/>
    <tableColumn id="12" name="Idade corporal (anos)"/>
    <tableColumn id="13" name="Pontuação corporal"/>
    <tableColumn id="14" name="Peso, média 7 dias (kg)"/>
    <tableColumn id="15" name="Gordura, média 7 dias (%)"/>
    <tableColumn id="16" name="Músculo, média 7 dias (kg)"/>
    <tableColumn id="17" name="Dia"/>
    <tableColumn id="18" name="Instante UTC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2F6BFF"/>
    <outlinePr summaryBelow="1" summaryRight="1"/>
    <pageSetUpPr/>
  </sheetPr>
  <dimension ref="B1:P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5.9" customWidth="1" min="2" max="2"/>
    <col width="15.9" customWidth="1" min="3" max="3"/>
    <col width="15.9" customWidth="1" min="4" max="4"/>
    <col width="3" customWidth="1" min="5" max="5"/>
    <col width="15.9" customWidth="1" min="6" max="6"/>
    <col width="15.9" customWidth="1" min="7" max="7"/>
    <col width="15.9" customWidth="1" min="8" max="8"/>
    <col width="3" customWidth="1" min="9" max="9"/>
    <col width="15.9" customWidth="1" min="10" max="10"/>
    <col width="15.9" customWidth="1" min="11" max="11"/>
    <col width="15.9" customWidth="1" min="12" max="12"/>
    <col width="3" customWidth="1" min="13" max="13"/>
    <col width="15.9" customWidth="1" min="14" max="14"/>
    <col width="15.9" customWidth="1" min="15" max="15"/>
    <col width="15.9" customWidth="1" min="16" max="16"/>
    <col width="3" customWidth="1" min="17" max="17"/>
  </cols>
  <sheetData>
    <row r="1" ht="32" customHeight="1">
      <c r="B1" s="1">
        <f>"Transformação corporal  ·  04/01/2026 a "&amp;RIGHT("0"&amp;DAY(MAX('Medições Corporais'!$A$4:$A$147)),2)&amp;"/"&amp;RIGHT("0"&amp;MONTH(MAX('Medições Corporais'!$A$4:$A$147)),2)&amp;"/"&amp;YEAR(MAX('Medições Corporais'!$A$4:$A$147))</f>
        <v/>
      </c>
    </row>
    <row r="2" ht="20" customHeight="1">
      <c r="B2" s="2">
        <f>"Última leitura: "&amp;RIGHT("0"&amp;DAY(INDEX('Medições Corporais'!$A$4:$A$147,MATCH(MAX('Medições Corporais'!$R$4:$R$147),'Medições Corporais'!$R$4:$R$147,0))),2)&amp;"/"&amp;RIGHT("0"&amp;MONTH(INDEX('Medições Corporais'!$A$4:$A$147,MATCH(MAX('Medições Corporais'!$R$4:$R$147),'Medições Corporais'!$R$4:$R$147,0))),2)&amp;"/"&amp;YEAR(INDEX('Medições Corporais'!$A$4:$A$147,MATCH(MAX('Medições Corporais'!$R$4:$R$147),'Medições Corporais'!$R$4:$R$147,0)))&amp;" às "&amp;RIGHT("0"&amp;HOUR(INDEX('Medições Corporais'!$A$4:$A$147,MATCH(MAX('Medições Corporais'!$R$4:$R$147),'Medições Corporais'!$R$4:$R$147,0))),2)&amp;":"&amp;RIGHT("0"&amp;MINUTE(INDEX('Medições Corporais'!$A$4:$A$147,MATCH(MAX('Medições Corporais'!$R$4:$R$147),'Medições Corporais'!$R$4:$R$147,0))),2)&amp;"  ·  "&amp;COUNT('Medições Corporais'!$A$4:$A$147)&amp;" leituras aceites  ·  Atualizado em 11/10/2026 16:40"</f>
        <v/>
      </c>
    </row>
    <row r="3" ht="16.2" customHeight="1"/>
    <row r="4" ht="17" customHeight="1">
      <c r="B4" s="3" t="inlineStr">
        <is>
          <t>Último peso</t>
        </is>
      </c>
      <c r="C4" s="4" t="n"/>
      <c r="D4" s="5" t="n"/>
      <c r="F4" s="3" t="inlineStr">
        <is>
          <t>Peso (média 7 dias)</t>
        </is>
      </c>
      <c r="G4" s="4" t="n"/>
      <c r="H4" s="5" t="n"/>
      <c r="J4" s="6" t="inlineStr">
        <is>
          <t>Peso desde o início</t>
        </is>
      </c>
      <c r="K4" s="7" t="n"/>
      <c r="L4" s="8" t="n"/>
      <c r="N4" s="6" t="inlineStr">
        <is>
          <t>Ritmo recente</t>
        </is>
      </c>
      <c r="O4" s="7" t="n"/>
      <c r="P4" s="8" t="n"/>
    </row>
    <row r="5" ht="17" customHeight="1">
      <c r="B5" s="9">
        <f>INDEX('Medições Corporais'!$B$4:$B$147,MATCH(MAX('Medições Corporais'!$R$4:$R$147),'Medições Corporais'!$R$4:$R$147,0))</f>
        <v/>
      </c>
      <c r="C5" s="10" t="n"/>
      <c r="D5" s="11" t="n"/>
      <c r="F5" s="9">
        <f>AVERAGEIFS('Medições Corporais'!$B$4:$B$147,'Medições Corporais'!$A$4:$A$147,"&gt;"&amp;MAX('Medições Corporais'!$A$4:$A$147)-7)</f>
        <v/>
      </c>
      <c r="G5" s="10" t="n"/>
      <c r="H5" s="11" t="n"/>
      <c r="J5" s="12">
        <f>AVERAGEIFS('Medições Corporais'!$B$4:$B$147,'Medições Corporais'!$A$4:$A$147,"&gt;"&amp;MAX('Medições Corporais'!$A$4:$A$147)-7)-AVERAGEIFS('Medições Corporais'!$B$4:$B$147,'Medições Corporais'!$A$4:$A$147,"&lt;"&amp;MIN('Medições Corporais'!$A$4:$A$147)+7)</f>
        <v/>
      </c>
      <c r="K5" s="13" t="n"/>
      <c r="L5" s="14" t="n"/>
      <c r="N5" s="15">
        <f>IFERROR((AVERAGEIFS('Medições Corporais'!$B$4:$B$147,'Medições Corporais'!$A$4:$A$147,"&gt;"&amp;MAX('Medições Corporais'!$A$4:$A$147)-7)-AVERAGEIFS('Medições Corporais'!$B$4:$B$147,'Medições Corporais'!$A$4:$A$147,"&gt;"&amp;MAX('Medições Corporais'!$A$4:$A$147)-28,'Medições Corporais'!$A$4:$A$147,"&lt;="&amp;MAX('Medições Corporais'!$A$4:$A$147)-21))/3,"")</f>
        <v/>
      </c>
      <c r="O5" s="13" t="n"/>
      <c r="P5" s="14" t="n"/>
    </row>
    <row r="6" ht="17" customHeight="1">
      <c r="B6" s="16" t="n"/>
      <c r="C6" s="10" t="n"/>
      <c r="D6" s="11" t="n"/>
      <c r="F6" s="16" t="n"/>
      <c r="G6" s="10" t="n"/>
      <c r="H6" s="11" t="n"/>
      <c r="J6" s="17" t="n"/>
      <c r="K6" s="13" t="n"/>
      <c r="L6" s="14" t="n"/>
      <c r="N6" s="17" t="n"/>
      <c r="O6" s="13" t="n"/>
      <c r="P6" s="14" t="n"/>
    </row>
    <row r="7" ht="17" customHeight="1">
      <c r="B7" s="16" t="n"/>
      <c r="C7" s="10" t="n"/>
      <c r="D7" s="11" t="n"/>
      <c r="F7" s="16" t="n"/>
      <c r="G7" s="10" t="n"/>
      <c r="H7" s="11" t="n"/>
      <c r="J7" s="17" t="n"/>
      <c r="K7" s="13" t="n"/>
      <c r="L7" s="14" t="n"/>
      <c r="N7" s="17" t="n"/>
      <c r="O7" s="13" t="n"/>
      <c r="P7" s="14" t="n"/>
    </row>
    <row r="8" ht="17" customHeight="1">
      <c r="B8" s="18">
        <f>"leitura mais recente"</f>
        <v/>
      </c>
      <c r="C8" s="19" t="n"/>
      <c r="D8" s="20" t="n"/>
      <c r="F8" s="18">
        <f>"últimos 7 dias"</f>
        <v/>
      </c>
      <c r="G8" s="19" t="n"/>
      <c r="H8" s="20" t="n"/>
      <c r="J8" s="21">
        <f>"média 7 dias: atual − inicial"</f>
        <v/>
      </c>
      <c r="K8" s="22" t="n"/>
      <c r="L8" s="23" t="n"/>
      <c r="N8" s="21">
        <f>"últimas 4 semanas"</f>
        <v/>
      </c>
      <c r="O8" s="22" t="n"/>
      <c r="P8" s="23" t="n"/>
    </row>
    <row r="9" ht="16.2" customHeight="1"/>
    <row r="10" ht="17" customHeight="1">
      <c r="B10" s="24" t="inlineStr">
        <is>
          <t>Gordura (média 7 dias)</t>
        </is>
      </c>
      <c r="C10" s="25" t="n"/>
      <c r="D10" s="26" t="n"/>
      <c r="F10" s="6" t="inlineStr">
        <is>
          <t>Gordura desde o início</t>
        </is>
      </c>
      <c r="G10" s="7" t="n"/>
      <c r="H10" s="8" t="n"/>
      <c r="J10" s="27" t="inlineStr">
        <is>
          <t>Músculo (média 7 dias)</t>
        </is>
      </c>
      <c r="K10" s="28" t="n"/>
      <c r="L10" s="29" t="n"/>
      <c r="N10" s="6" t="inlineStr">
        <is>
          <t>Músculo desde o início</t>
        </is>
      </c>
      <c r="O10" s="7" t="n"/>
      <c r="P10" s="8" t="n"/>
    </row>
    <row r="11" ht="17" customHeight="1">
      <c r="B11" s="30">
        <f>AVERAGEIFS('Medições Corporais'!$D$4:$D$147,'Medições Corporais'!$A$4:$A$147,"&gt;"&amp;MAX('Medições Corporais'!$A$4:$A$147)-7)</f>
        <v/>
      </c>
      <c r="C11" s="31" t="n"/>
      <c r="D11" s="32" t="n"/>
      <c r="F11" s="33">
        <f>AVERAGEIFS('Medições Corporais'!$D$4:$D$147,'Medições Corporais'!$A$4:$A$147,"&gt;"&amp;MAX('Medições Corporais'!$A$4:$A$147)-7)-AVERAGEIFS('Medições Corporais'!$D$4:$D$147,'Medições Corporais'!$A$4:$A$147,"&lt;"&amp;MIN('Medições Corporais'!$A$4:$A$147)+7)</f>
        <v/>
      </c>
      <c r="G11" s="13" t="n"/>
      <c r="H11" s="14" t="n"/>
      <c r="J11" s="34">
        <f>AVERAGEIFS('Medições Corporais'!$G$4:$G$147,'Medições Corporais'!$A$4:$A$147,"&gt;"&amp;MAX('Medições Corporais'!$A$4:$A$147)-7)</f>
        <v/>
      </c>
      <c r="K11" s="35" t="n"/>
      <c r="L11" s="36" t="n"/>
      <c r="N11" s="12">
        <f>AVERAGEIFS('Medições Corporais'!$G$4:$G$147,'Medições Corporais'!$A$4:$A$147,"&gt;"&amp;MAX('Medições Corporais'!$A$4:$A$147)-7)-AVERAGEIFS('Medições Corporais'!$G$4:$G$147,'Medições Corporais'!$A$4:$A$147,"&lt;"&amp;MIN('Medições Corporais'!$A$4:$A$147)+7)</f>
        <v/>
      </c>
      <c r="O11" s="13" t="n"/>
      <c r="P11" s="14" t="n"/>
    </row>
    <row r="12" ht="17" customHeight="1">
      <c r="B12" s="37" t="n"/>
      <c r="C12" s="31" t="n"/>
      <c r="D12" s="32" t="n"/>
      <c r="F12" s="17" t="n"/>
      <c r="G12" s="13" t="n"/>
      <c r="H12" s="14" t="n"/>
      <c r="J12" s="38" t="n"/>
      <c r="K12" s="35" t="n"/>
      <c r="L12" s="36" t="n"/>
      <c r="N12" s="17" t="n"/>
      <c r="O12" s="13" t="n"/>
      <c r="P12" s="14" t="n"/>
    </row>
    <row r="13" ht="17" customHeight="1">
      <c r="B13" s="37" t="n"/>
      <c r="C13" s="31" t="n"/>
      <c r="D13" s="32" t="n"/>
      <c r="F13" s="17" t="n"/>
      <c r="G13" s="13" t="n"/>
      <c r="H13" s="14" t="n"/>
      <c r="J13" s="38" t="n"/>
      <c r="K13" s="35" t="n"/>
      <c r="L13" s="36" t="n"/>
      <c r="N13" s="17" t="n"/>
      <c r="O13" s="13" t="n"/>
      <c r="P13" s="14" t="n"/>
    </row>
    <row r="14" ht="17" customHeight="1">
      <c r="B14" s="39">
        <f>"estimativa da balança"</f>
        <v/>
      </c>
      <c r="C14" s="40" t="n"/>
      <c r="D14" s="41" t="n"/>
      <c r="F14" s="21">
        <f>"pontos percentuais"</f>
        <v/>
      </c>
      <c r="G14" s="22" t="n"/>
      <c r="H14" s="23" t="n"/>
      <c r="J14" s="42">
        <f>"estimativa da balança"</f>
        <v/>
      </c>
      <c r="K14" s="43" t="n"/>
      <c r="L14" s="44" t="n"/>
      <c r="N14" s="21">
        <f>"média 7 dias: atual − inicial"</f>
        <v/>
      </c>
      <c r="O14" s="22" t="n"/>
      <c r="P14" s="23" t="n"/>
    </row>
    <row r="15" ht="16.2" customHeight="1"/>
    <row r="16" ht="17" customHeight="1">
      <c r="B16" s="24" t="inlineStr">
        <is>
          <t>Última cintura</t>
        </is>
      </c>
      <c r="C16" s="25" t="n"/>
      <c r="D16" s="26" t="n"/>
      <c r="F16" s="6" t="inlineStr">
        <is>
          <t>Cintura desde o início</t>
        </is>
      </c>
      <c r="G16" s="7" t="n"/>
      <c r="H16" s="8" t="n"/>
      <c r="J16" s="3" t="inlineStr">
        <is>
          <t>Último pescoço</t>
        </is>
      </c>
      <c r="K16" s="4" t="n"/>
      <c r="L16" s="5" t="n"/>
      <c r="N16" s="6" t="inlineStr">
        <is>
          <t>Pescoço desde o início</t>
        </is>
      </c>
      <c r="O16" s="7" t="n"/>
      <c r="P16" s="8" t="n"/>
    </row>
    <row r="17" ht="17" customHeight="1">
      <c r="B17" s="45">
        <f>IF(COUNT('Medidas Manuais'!$C$4:$C$25)=0,"",SUMIFS('Medidas Manuais'!$C$4:$C$25,'Medidas Manuais'!$B$4:$B$25,_xlfn.MAXIFS('Medidas Manuais'!$B$4:$B$25,'Medidas Manuais'!$C$4:$C$25,"&gt;0")))</f>
        <v/>
      </c>
      <c r="C17" s="31" t="n"/>
      <c r="D17" s="32" t="n"/>
      <c r="F17" s="46">
        <f>IF(COUNT('Medidas Manuais'!$C$4:$C$25)&lt;2,"",SUMIFS('Medidas Manuais'!$C$4:$C$25,'Medidas Manuais'!$B$4:$B$25,_xlfn.MAXIFS('Medidas Manuais'!$B$4:$B$25,'Medidas Manuais'!$C$4:$C$25,"&gt;0"))-SUMIFS('Medidas Manuais'!$C$4:$C$25,'Medidas Manuais'!$B$4:$B$25,_xlfn.MINIFS('Medidas Manuais'!$B$4:$B$25,'Medidas Manuais'!$C$4:$C$25,"&gt;0")))</f>
        <v/>
      </c>
      <c r="G17" s="13" t="n"/>
      <c r="H17" s="14" t="n"/>
      <c r="J17" s="47">
        <f>IF(COUNT('Medidas Manuais'!$E$4:$E$25)=0,"",SUMIFS('Medidas Manuais'!$E$4:$E$25,'Medidas Manuais'!$B$4:$B$25,_xlfn.MAXIFS('Medidas Manuais'!$B$4:$B$25,'Medidas Manuais'!$E$4:$E$25,"&gt;0")))</f>
        <v/>
      </c>
      <c r="K17" s="10" t="n"/>
      <c r="L17" s="11" t="n"/>
      <c r="N17" s="46">
        <f>IF(COUNT('Medidas Manuais'!$E$4:$E$25)&lt;2,"",SUMIFS('Medidas Manuais'!$E$4:$E$25,'Medidas Manuais'!$B$4:$B$25,_xlfn.MAXIFS('Medidas Manuais'!$B$4:$B$25,'Medidas Manuais'!$E$4:$E$25,"&gt;0"))-SUMIFS('Medidas Manuais'!$E$4:$E$25,'Medidas Manuais'!$B$4:$B$25,_xlfn.MINIFS('Medidas Manuais'!$B$4:$B$25,'Medidas Manuais'!$E$4:$E$25,"&gt;0")))</f>
        <v/>
      </c>
      <c r="O17" s="13" t="n"/>
      <c r="P17" s="14" t="n"/>
    </row>
    <row r="18" ht="17" customHeight="1">
      <c r="B18" s="37" t="n"/>
      <c r="C18" s="31" t="n"/>
      <c r="D18" s="32" t="n"/>
      <c r="F18" s="17" t="n"/>
      <c r="G18" s="13" t="n"/>
      <c r="H18" s="14" t="n"/>
      <c r="J18" s="16" t="n"/>
      <c r="K18" s="10" t="n"/>
      <c r="L18" s="11" t="n"/>
      <c r="N18" s="17" t="n"/>
      <c r="O18" s="13" t="n"/>
      <c r="P18" s="14" t="n"/>
    </row>
    <row r="19" ht="17" customHeight="1">
      <c r="B19" s="37" t="n"/>
      <c r="C19" s="31" t="n"/>
      <c r="D19" s="32" t="n"/>
      <c r="F19" s="17" t="n"/>
      <c r="G19" s="13" t="n"/>
      <c r="H19" s="14" t="n"/>
      <c r="J19" s="16" t="n"/>
      <c r="K19" s="10" t="n"/>
      <c r="L19" s="11" t="n"/>
      <c r="N19" s="17" t="n"/>
      <c r="O19" s="13" t="n"/>
      <c r="P19" s="14" t="n"/>
    </row>
    <row r="20" ht="17" customHeight="1">
      <c r="B20" s="39">
        <f>IF(COUNT('Medidas Manuais'!$C$4:$C$25)=0,"","medida em "&amp;RIGHT("0"&amp;DAY(_xlfn.MAXIFS('Medidas Manuais'!$B$4:$B$25,'Medidas Manuais'!$C$4:$C$25,"&gt;0")),2)&amp;"/"&amp;RIGHT("0"&amp;MONTH(_xlfn.MAXIFS('Medidas Manuais'!$B$4:$B$25,'Medidas Manuais'!$C$4:$C$25,"&gt;0")),2)&amp;"/"&amp;YEAR(_xlfn.MAXIFS('Medidas Manuais'!$B$4:$B$25,'Medidas Manuais'!$C$4:$C$25,"&gt;0")))</f>
        <v/>
      </c>
      <c r="C20" s="40" t="n"/>
      <c r="D20" s="41" t="n"/>
      <c r="F20" s="21">
        <f>"última − primeira medição"</f>
        <v/>
      </c>
      <c r="G20" s="22" t="n"/>
      <c r="H20" s="23" t="n"/>
      <c r="J20" s="18">
        <f>IF(COUNT('Medidas Manuais'!$E$4:$E$25)=0,"","medido em "&amp;RIGHT("0"&amp;DAY(_xlfn.MAXIFS('Medidas Manuais'!$B$4:$B$25,'Medidas Manuais'!$E$4:$E$25,"&gt;0")),2)&amp;"/"&amp;RIGHT("0"&amp;MONTH(_xlfn.MAXIFS('Medidas Manuais'!$B$4:$B$25,'Medidas Manuais'!$E$4:$E$25,"&gt;0")),2)&amp;"/"&amp;YEAR(_xlfn.MAXIFS('Medidas Manuais'!$B$4:$B$25,'Medidas Manuais'!$E$4:$E$25,"&gt;0")))</f>
        <v/>
      </c>
      <c r="K20" s="19" t="n"/>
      <c r="L20" s="20" t="n"/>
      <c r="N20" s="21">
        <f>"última − primeira medição"</f>
        <v/>
      </c>
      <c r="O20" s="22" t="n"/>
      <c r="P20" s="23" t="n"/>
    </row>
    <row r="21" ht="16.2" customHeight="1"/>
    <row r="40" ht="16.2" customHeight="1"/>
    <row r="59" ht="16.2" customHeight="1"/>
    <row r="78" ht="16.2" customHeight="1"/>
    <row r="97" ht="16.2" customHeight="1"/>
    <row r="98" ht="30" customHeight="1">
      <c r="B98" s="48" t="inlineStr">
        <is>
          <t>Gráficos de peso, gordura e músculo: pontos = leituras; linha = média móvel de 7 dias. Cintura e pescoço: pontos = medições reais; tracejado = semanas sem medição (só visual, sem valores inventados). As escalas e os tracejados são recalculados em cada atualização.</t>
        </is>
      </c>
    </row>
  </sheetData>
  <mergeCells count="38">
    <mergeCell ref="F20:H20"/>
    <mergeCell ref="B14:D14"/>
    <mergeCell ref="F5:H7"/>
    <mergeCell ref="B8:D8"/>
    <mergeCell ref="N14:P14"/>
    <mergeCell ref="B98:P98"/>
    <mergeCell ref="F8:H8"/>
    <mergeCell ref="B1:P1"/>
    <mergeCell ref="J4:L4"/>
    <mergeCell ref="N8:P8"/>
    <mergeCell ref="N5:P7"/>
    <mergeCell ref="B17:D19"/>
    <mergeCell ref="J20:L20"/>
    <mergeCell ref="B10:D10"/>
    <mergeCell ref="J11:L13"/>
    <mergeCell ref="J16:L16"/>
    <mergeCell ref="N10:P10"/>
    <mergeCell ref="F17:H19"/>
    <mergeCell ref="N17:P19"/>
    <mergeCell ref="B20:D20"/>
    <mergeCell ref="F14:H14"/>
    <mergeCell ref="B5:D7"/>
    <mergeCell ref="B4:D4"/>
    <mergeCell ref="F4:H4"/>
    <mergeCell ref="J8:L8"/>
    <mergeCell ref="N4:P4"/>
    <mergeCell ref="N20:P20"/>
    <mergeCell ref="B16:D16"/>
    <mergeCell ref="N11:P13"/>
    <mergeCell ref="F11:H13"/>
    <mergeCell ref="F10:H10"/>
    <mergeCell ref="F16:H16"/>
    <mergeCell ref="J14:L14"/>
    <mergeCell ref="J5:L7"/>
    <mergeCell ref="J10:L10"/>
    <mergeCell ref="N16:P16"/>
    <mergeCell ref="J17:L19"/>
    <mergeCell ref="B11:D13"/>
  </mergeCells>
  <pageMargins left="0.75" right="0.75" top="1" bottom="1" header="0.5" footer="0.5"/>
  <ignoredErrors>
    <ignoredError sqref="A1:Z3000" formula="1" formulaRange="1" numberStoredAsText="1"/>
  </ignoredError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0" customWidth="1" min="4" max="4"/>
    <col width="11" customWidth="1" min="5" max="5"/>
    <col width="10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3.5" customWidth="1" min="18" max="18"/>
    <col width="13.5" customWidth="1" min="19" max="19"/>
    <col width="13.5" customWidth="1" min="20" max="20"/>
    <col width="13.5" customWidth="1" min="21" max="21"/>
  </cols>
  <sheetData>
    <row r="1" ht="32" customHeight="1">
      <c r="B1" s="1" t="inlineStr">
        <is>
          <t>Resumo mensal</t>
        </is>
      </c>
    </row>
    <row r="2" ht="20" customHeight="1">
      <c r="B2" s="49" t="inlineStr">
        <is>
          <t>Atualizado em 11/10/2026 16:40</t>
        </is>
      </c>
    </row>
    <row r="3" ht="58" customHeight="1">
      <c r="A3" s="50" t="inlineStr">
        <is>
          <t>Mês</t>
        </is>
      </c>
      <c r="B3" s="50" t="inlineStr">
        <is>
          <t>Início</t>
        </is>
      </c>
      <c r="C3" s="50" t="inlineStr">
        <is>
          <t>Fim</t>
        </is>
      </c>
      <c r="D3" s="50" t="inlineStr">
        <is>
          <t>Leituras</t>
        </is>
      </c>
      <c r="E3" s="50" t="inlineStr">
        <is>
          <t>Dias com medição</t>
        </is>
      </c>
      <c r="F3" s="50" t="inlineStr">
        <is>
          <t>Período parcial</t>
        </is>
      </c>
      <c r="G3" s="51" t="inlineStr">
        <is>
          <t>Peso médio (kg)</t>
        </is>
      </c>
      <c r="H3" s="51" t="inlineStr">
        <is>
          <t>Variação do peso (kg)</t>
        </is>
      </c>
      <c r="I3" s="51" t="inlineStr">
        <is>
          <t>Gordura média (%)</t>
        </is>
      </c>
      <c r="J3" s="51" t="inlineStr">
        <is>
          <t>Variação da gordura (pp)</t>
        </is>
      </c>
      <c r="K3" s="52" t="inlineStr">
        <is>
          <t>Músculo médio (kg)</t>
        </is>
      </c>
      <c r="L3" s="52" t="inlineStr">
        <is>
          <t>Massa gorda média (kg)</t>
        </is>
      </c>
      <c r="M3" s="52" t="inlineStr">
        <is>
          <t>Água média (%)</t>
        </is>
      </c>
      <c r="N3" s="52" t="inlineStr">
        <is>
          <t>Proteína média (%)</t>
        </is>
      </c>
      <c r="O3" s="52" t="inlineStr">
        <is>
          <t>Massa óssea média (kg)</t>
        </is>
      </c>
      <c r="P3" s="52" t="inlineStr">
        <is>
          <t>IMC médio</t>
        </is>
      </c>
      <c r="Q3" s="52" t="inlineStr">
        <is>
          <t>Gordura visceral média (índice)</t>
        </is>
      </c>
      <c r="R3" s="52" t="inlineStr">
        <is>
          <t>Idade corporal média (anos)</t>
        </is>
      </c>
      <c r="S3" s="52" t="inlineStr">
        <is>
          <t>Pontuação corporal média</t>
        </is>
      </c>
      <c r="T3" s="53" t="inlineStr">
        <is>
          <t>Cintura média (cm)</t>
        </is>
      </c>
      <c r="U3" s="53" t="inlineStr">
        <is>
          <t>Pescoço médio (cm)</t>
        </is>
      </c>
    </row>
    <row r="4">
      <c r="A4" s="54" t="n">
        <v>46023</v>
      </c>
      <c r="B4" s="55" t="n">
        <v>46023</v>
      </c>
      <c r="C4" s="55" t="n">
        <v>46053</v>
      </c>
      <c r="D4" s="56">
        <f>COUNTIFS('Medições Corporais'!$A$4:$A$147,"&gt;="&amp;$B4,'Medições Corporais'!$A$4:$A$147,"&lt;"&amp;$C4+1)</f>
        <v/>
      </c>
      <c r="E4" s="56">
        <f>SUMPRODUCT(('Medições Corporais'!$Q$4:$Q$147&gt;=$B4)*('Medições Corporais'!$Q$4:$Q$147&lt;=$C4)/COUNTIF('Medições Corporais'!$Q$4:$Q$147,'Medições Corporais'!$Q$4:$Q$147))</f>
        <v/>
      </c>
      <c r="F4" s="57">
        <f>IF($D4=0,"",IF(OR($B4&lt;DATE(2026,1,4),$C4&gt;MAX('Medições Corporais'!$Q$4:$Q$147)),"Sim","Não"))</f>
        <v/>
      </c>
      <c r="G4" s="58">
        <f>IF($D4=0,"",AVERAGEIFS('Medições Corporais'!$B$4:$B$147,'Medições Corporais'!$A$4:$A$147,"&gt;="&amp;$B4,'Medições Corporais'!$A$4:$A$147,"&lt;"&amp;$C4+1))</f>
        <v/>
      </c>
      <c r="H4" s="59">
        <f>""</f>
        <v/>
      </c>
      <c r="I4" s="60">
        <f>IF($D4=0,"",AVERAGEIFS('Medições Corporais'!$D$4:$D$147,'Medições Corporais'!$A$4:$A$147,"&gt;="&amp;$B4,'Medições Corporais'!$A$4:$A$147,"&lt;"&amp;$C4+1))</f>
        <v/>
      </c>
      <c r="J4" s="61">
        <f>""</f>
        <v/>
      </c>
      <c r="K4" s="58">
        <f>IF($D4=0,"",AVERAGEIFS('Medições Corporais'!$G$4:$G$147,'Medições Corporais'!$A$4:$A$147,"&gt;="&amp;$B4,'Medições Corporais'!$A$4:$A$147,"&lt;"&amp;$C4+1))</f>
        <v/>
      </c>
      <c r="L4" s="58">
        <f>IF($D4=0,"",AVERAGEIFS('Medições Corporais'!$I$4:$I$147,'Medições Corporais'!$A$4:$A$147,"&gt;="&amp;$B4,'Medições Corporais'!$A$4:$A$147,"&lt;"&amp;$C4+1))</f>
        <v/>
      </c>
      <c r="M4" s="58">
        <f>IF($D4=0,"",AVERAGEIFS('Medições Corporais'!$E$4:$E$147,'Medições Corporais'!$A$4:$A$147,"&gt;="&amp;$B4,'Medições Corporais'!$A$4:$A$147,"&lt;"&amp;$C4+1))</f>
        <v/>
      </c>
      <c r="N4" s="58">
        <f>IF($D4=0,"",AVERAGEIFS('Medições Corporais'!$H$4:$H$147,'Medições Corporais'!$A$4:$A$147,"&gt;="&amp;$B4,'Medições Corporais'!$A$4:$A$147,"&lt;"&amp;$C4+1))</f>
        <v/>
      </c>
      <c r="O4" s="58">
        <f>IF($D4=0,"",AVERAGEIFS('Medições Corporais'!$F$4:$F$147,'Medições Corporais'!$A$4:$A$147,"&gt;="&amp;$B4,'Medições Corporais'!$A$4:$A$147,"&lt;"&amp;$C4+1))</f>
        <v/>
      </c>
      <c r="P4" s="60">
        <f>IF($D4=0,"",AVERAGEIFS('Medições Corporais'!$C$4:$C$147,'Medições Corporais'!$A$4:$A$147,"&gt;="&amp;$B4,'Medições Corporais'!$A$4:$A$147,"&lt;"&amp;$C4+1))</f>
        <v/>
      </c>
      <c r="Q4" s="60">
        <f>IF($D4=0,"",AVERAGEIFS('Medições Corporais'!$J$4:$J$147,'Medições Corporais'!$A$4:$A$147,"&gt;="&amp;$B4,'Medições Corporais'!$A$4:$A$147,"&lt;"&amp;$C4+1))</f>
        <v/>
      </c>
      <c r="R4" s="60">
        <f>IF($D4=0,"",AVERAGEIFS('Medições Corporais'!$L$4:$L$147,'Medições Corporais'!$A$4:$A$147,"&gt;="&amp;$B4,'Medições Corporais'!$A$4:$A$147,"&lt;"&amp;$C4+1))</f>
        <v/>
      </c>
      <c r="S4" s="60">
        <f>IF($D4=0,"",AVERAGEIFS('Medições Corporais'!$M$4:$M$147,'Medições Corporais'!$A$4:$A$147,"&gt;="&amp;$B4,'Medições Corporais'!$A$4:$A$147,"&lt;"&amp;$C4+1))</f>
        <v/>
      </c>
      <c r="T4" s="60">
        <f>IFERROR(AVERAGEIFS('Medidas Manuais'!$C$4:$C$25,'Medidas Manuais'!$B$4:$B$25,"&gt;="&amp;$B4,'Medidas Manuais'!$B$4:$B$25,"&lt;"&amp;$C4+1),"")</f>
        <v/>
      </c>
      <c r="U4" s="60">
        <f>IFERROR(AVERAGEIFS('Medidas Manuais'!$E$4:$E$25,'Medidas Manuais'!$B$4:$B$25,"&gt;="&amp;$B4,'Medidas Manuais'!$B$4:$B$25,"&lt;"&amp;$C4+1),"")</f>
        <v/>
      </c>
    </row>
    <row r="5">
      <c r="A5" s="54" t="n">
        <v>46054</v>
      </c>
      <c r="B5" s="55" t="n">
        <v>46054</v>
      </c>
      <c r="C5" s="55" t="n">
        <v>46081</v>
      </c>
      <c r="D5" s="56">
        <f>COUNTIFS('Medições Corporais'!$A$4:$A$147,"&gt;="&amp;$B5,'Medições Corporais'!$A$4:$A$147,"&lt;"&amp;$C5+1)</f>
        <v/>
      </c>
      <c r="E5" s="56">
        <f>SUMPRODUCT(('Medições Corporais'!$Q$4:$Q$147&gt;=$B5)*('Medições Corporais'!$Q$4:$Q$147&lt;=$C5)/COUNTIF('Medições Corporais'!$Q$4:$Q$147,'Medições Corporais'!$Q$4:$Q$147))</f>
        <v/>
      </c>
      <c r="F5" s="57">
        <f>IF($D5=0,"",IF(OR($B5&lt;DATE(2026,1,4),$C5&gt;MAX('Medições Corporais'!$Q$4:$Q$147)),"Sim","Não"))</f>
        <v/>
      </c>
      <c r="G5" s="58">
        <f>IF($D5=0,"",AVERAGEIFS('Medições Corporais'!$B$4:$B$147,'Medições Corporais'!$A$4:$A$147,"&gt;="&amp;$B5,'Medições Corporais'!$A$4:$A$147,"&lt;"&amp;$C5+1))</f>
        <v/>
      </c>
      <c r="H5" s="59">
        <f>IF(OR(G5="",G4=""),"",G5-G4)</f>
        <v/>
      </c>
      <c r="I5" s="60">
        <f>IF($D5=0,"",AVERAGEIFS('Medições Corporais'!$D$4:$D$147,'Medições Corporais'!$A$4:$A$147,"&gt;="&amp;$B5,'Medições Corporais'!$A$4:$A$147,"&lt;"&amp;$C5+1))</f>
        <v/>
      </c>
      <c r="J5" s="61">
        <f>IF(OR(I5="",I4=""),"",I5-I4)</f>
        <v/>
      </c>
      <c r="K5" s="58">
        <f>IF($D5=0,"",AVERAGEIFS('Medições Corporais'!$G$4:$G$147,'Medições Corporais'!$A$4:$A$147,"&gt;="&amp;$B5,'Medições Corporais'!$A$4:$A$147,"&lt;"&amp;$C5+1))</f>
        <v/>
      </c>
      <c r="L5" s="58">
        <f>IF($D5=0,"",AVERAGEIFS('Medições Corporais'!$I$4:$I$147,'Medições Corporais'!$A$4:$A$147,"&gt;="&amp;$B5,'Medições Corporais'!$A$4:$A$147,"&lt;"&amp;$C5+1))</f>
        <v/>
      </c>
      <c r="M5" s="58">
        <f>IF($D5=0,"",AVERAGEIFS('Medições Corporais'!$E$4:$E$147,'Medições Corporais'!$A$4:$A$147,"&gt;="&amp;$B5,'Medições Corporais'!$A$4:$A$147,"&lt;"&amp;$C5+1))</f>
        <v/>
      </c>
      <c r="N5" s="58">
        <f>IF($D5=0,"",AVERAGEIFS('Medições Corporais'!$H$4:$H$147,'Medições Corporais'!$A$4:$A$147,"&gt;="&amp;$B5,'Medições Corporais'!$A$4:$A$147,"&lt;"&amp;$C5+1))</f>
        <v/>
      </c>
      <c r="O5" s="58">
        <f>IF($D5=0,"",AVERAGEIFS('Medições Corporais'!$F$4:$F$147,'Medições Corporais'!$A$4:$A$147,"&gt;="&amp;$B5,'Medições Corporais'!$A$4:$A$147,"&lt;"&amp;$C5+1))</f>
        <v/>
      </c>
      <c r="P5" s="60">
        <f>IF($D5=0,"",AVERAGEIFS('Medições Corporais'!$C$4:$C$147,'Medições Corporais'!$A$4:$A$147,"&gt;="&amp;$B5,'Medições Corporais'!$A$4:$A$147,"&lt;"&amp;$C5+1))</f>
        <v/>
      </c>
      <c r="Q5" s="60">
        <f>IF($D5=0,"",AVERAGEIFS('Medições Corporais'!$J$4:$J$147,'Medições Corporais'!$A$4:$A$147,"&gt;="&amp;$B5,'Medições Corporais'!$A$4:$A$147,"&lt;"&amp;$C5+1))</f>
        <v/>
      </c>
      <c r="R5" s="60">
        <f>IF($D5=0,"",AVERAGEIFS('Medições Corporais'!$L$4:$L$147,'Medições Corporais'!$A$4:$A$147,"&gt;="&amp;$B5,'Medições Corporais'!$A$4:$A$147,"&lt;"&amp;$C5+1))</f>
        <v/>
      </c>
      <c r="S5" s="60">
        <f>IF($D5=0,"",AVERAGEIFS('Medições Corporais'!$M$4:$M$147,'Medições Corporais'!$A$4:$A$147,"&gt;="&amp;$B5,'Medições Corporais'!$A$4:$A$147,"&lt;"&amp;$C5+1))</f>
        <v/>
      </c>
      <c r="T5" s="60">
        <f>IFERROR(AVERAGEIFS('Medidas Manuais'!$C$4:$C$25,'Medidas Manuais'!$B$4:$B$25,"&gt;="&amp;$B5,'Medidas Manuais'!$B$4:$B$25,"&lt;"&amp;$C5+1),"")</f>
        <v/>
      </c>
      <c r="U5" s="60">
        <f>IFERROR(AVERAGEIFS('Medidas Manuais'!$E$4:$E$25,'Medidas Manuais'!$B$4:$B$25,"&gt;="&amp;$B5,'Medidas Manuais'!$B$4:$B$25,"&lt;"&amp;$C5+1),"")</f>
        <v/>
      </c>
    </row>
    <row r="6">
      <c r="A6" s="54" t="n">
        <v>46082</v>
      </c>
      <c r="B6" s="55" t="n">
        <v>46082</v>
      </c>
      <c r="C6" s="55" t="n">
        <v>46112</v>
      </c>
      <c r="D6" s="56">
        <f>COUNTIFS('Medições Corporais'!$A$4:$A$147,"&gt;="&amp;$B6,'Medições Corporais'!$A$4:$A$147,"&lt;"&amp;$C6+1)</f>
        <v/>
      </c>
      <c r="E6" s="56">
        <f>SUMPRODUCT(('Medições Corporais'!$Q$4:$Q$147&gt;=$B6)*('Medições Corporais'!$Q$4:$Q$147&lt;=$C6)/COUNTIF('Medições Corporais'!$Q$4:$Q$147,'Medições Corporais'!$Q$4:$Q$147))</f>
        <v/>
      </c>
      <c r="F6" s="57">
        <f>IF($D6=0,"",IF(OR($B6&lt;DATE(2026,1,4),$C6&gt;MAX('Medições Corporais'!$Q$4:$Q$147)),"Sim","Não"))</f>
        <v/>
      </c>
      <c r="G6" s="58">
        <f>IF($D6=0,"",AVERAGEIFS('Medições Corporais'!$B$4:$B$147,'Medições Corporais'!$A$4:$A$147,"&gt;="&amp;$B6,'Medições Corporais'!$A$4:$A$147,"&lt;"&amp;$C6+1))</f>
        <v/>
      </c>
      <c r="H6" s="59">
        <f>IF(OR(G6="",G5=""),"",G6-G5)</f>
        <v/>
      </c>
      <c r="I6" s="60">
        <f>IF($D6=0,"",AVERAGEIFS('Medições Corporais'!$D$4:$D$147,'Medições Corporais'!$A$4:$A$147,"&gt;="&amp;$B6,'Medições Corporais'!$A$4:$A$147,"&lt;"&amp;$C6+1))</f>
        <v/>
      </c>
      <c r="J6" s="61">
        <f>IF(OR(I6="",I5=""),"",I6-I5)</f>
        <v/>
      </c>
      <c r="K6" s="58">
        <f>IF($D6=0,"",AVERAGEIFS('Medições Corporais'!$G$4:$G$147,'Medições Corporais'!$A$4:$A$147,"&gt;="&amp;$B6,'Medições Corporais'!$A$4:$A$147,"&lt;"&amp;$C6+1))</f>
        <v/>
      </c>
      <c r="L6" s="58">
        <f>IF($D6=0,"",AVERAGEIFS('Medições Corporais'!$I$4:$I$147,'Medições Corporais'!$A$4:$A$147,"&gt;="&amp;$B6,'Medições Corporais'!$A$4:$A$147,"&lt;"&amp;$C6+1))</f>
        <v/>
      </c>
      <c r="M6" s="58">
        <f>IF($D6=0,"",AVERAGEIFS('Medições Corporais'!$E$4:$E$147,'Medições Corporais'!$A$4:$A$147,"&gt;="&amp;$B6,'Medições Corporais'!$A$4:$A$147,"&lt;"&amp;$C6+1))</f>
        <v/>
      </c>
      <c r="N6" s="58">
        <f>IF($D6=0,"",AVERAGEIFS('Medições Corporais'!$H$4:$H$147,'Medições Corporais'!$A$4:$A$147,"&gt;="&amp;$B6,'Medições Corporais'!$A$4:$A$147,"&lt;"&amp;$C6+1))</f>
        <v/>
      </c>
      <c r="O6" s="58">
        <f>IF($D6=0,"",AVERAGEIFS('Medições Corporais'!$F$4:$F$147,'Medições Corporais'!$A$4:$A$147,"&gt;="&amp;$B6,'Medições Corporais'!$A$4:$A$147,"&lt;"&amp;$C6+1))</f>
        <v/>
      </c>
      <c r="P6" s="60">
        <f>IF($D6=0,"",AVERAGEIFS('Medições Corporais'!$C$4:$C$147,'Medições Corporais'!$A$4:$A$147,"&gt;="&amp;$B6,'Medições Corporais'!$A$4:$A$147,"&lt;"&amp;$C6+1))</f>
        <v/>
      </c>
      <c r="Q6" s="60">
        <f>IF($D6=0,"",AVERAGEIFS('Medições Corporais'!$J$4:$J$147,'Medições Corporais'!$A$4:$A$147,"&gt;="&amp;$B6,'Medições Corporais'!$A$4:$A$147,"&lt;"&amp;$C6+1))</f>
        <v/>
      </c>
      <c r="R6" s="60">
        <f>IF($D6=0,"",AVERAGEIFS('Medições Corporais'!$L$4:$L$147,'Medições Corporais'!$A$4:$A$147,"&gt;="&amp;$B6,'Medições Corporais'!$A$4:$A$147,"&lt;"&amp;$C6+1))</f>
        <v/>
      </c>
      <c r="S6" s="60">
        <f>IF($D6=0,"",AVERAGEIFS('Medições Corporais'!$M$4:$M$147,'Medições Corporais'!$A$4:$A$147,"&gt;="&amp;$B6,'Medições Corporais'!$A$4:$A$147,"&lt;"&amp;$C6+1))</f>
        <v/>
      </c>
      <c r="T6" s="60">
        <f>IFERROR(AVERAGEIFS('Medidas Manuais'!$C$4:$C$25,'Medidas Manuais'!$B$4:$B$25,"&gt;="&amp;$B6,'Medidas Manuais'!$B$4:$B$25,"&lt;"&amp;$C6+1),"")</f>
        <v/>
      </c>
      <c r="U6" s="60">
        <f>IFERROR(AVERAGEIFS('Medidas Manuais'!$E$4:$E$25,'Medidas Manuais'!$B$4:$B$25,"&gt;="&amp;$B6,'Medidas Manuais'!$B$4:$B$25,"&lt;"&amp;$C6+1),"")</f>
        <v/>
      </c>
    </row>
    <row r="7">
      <c r="A7" s="54" t="n">
        <v>46113</v>
      </c>
      <c r="B7" s="55" t="n">
        <v>46113</v>
      </c>
      <c r="C7" s="55" t="n">
        <v>46142</v>
      </c>
      <c r="D7" s="56">
        <f>COUNTIFS('Medições Corporais'!$A$4:$A$147,"&gt;="&amp;$B7,'Medições Corporais'!$A$4:$A$147,"&lt;"&amp;$C7+1)</f>
        <v/>
      </c>
      <c r="E7" s="56">
        <f>SUMPRODUCT(('Medições Corporais'!$Q$4:$Q$147&gt;=$B7)*('Medições Corporais'!$Q$4:$Q$147&lt;=$C7)/COUNTIF('Medições Corporais'!$Q$4:$Q$147,'Medições Corporais'!$Q$4:$Q$147))</f>
        <v/>
      </c>
      <c r="F7" s="57">
        <f>IF($D7=0,"",IF(OR($B7&lt;DATE(2026,1,4),$C7&gt;MAX('Medições Corporais'!$Q$4:$Q$147)),"Sim","Não"))</f>
        <v/>
      </c>
      <c r="G7" s="58">
        <f>IF($D7=0,"",AVERAGEIFS('Medições Corporais'!$B$4:$B$147,'Medições Corporais'!$A$4:$A$147,"&gt;="&amp;$B7,'Medições Corporais'!$A$4:$A$147,"&lt;"&amp;$C7+1))</f>
        <v/>
      </c>
      <c r="H7" s="59">
        <f>IF(OR(G7="",G6=""),"",G7-G6)</f>
        <v/>
      </c>
      <c r="I7" s="60">
        <f>IF($D7=0,"",AVERAGEIFS('Medições Corporais'!$D$4:$D$147,'Medições Corporais'!$A$4:$A$147,"&gt;="&amp;$B7,'Medições Corporais'!$A$4:$A$147,"&lt;"&amp;$C7+1))</f>
        <v/>
      </c>
      <c r="J7" s="61">
        <f>IF(OR(I7="",I6=""),"",I7-I6)</f>
        <v/>
      </c>
      <c r="K7" s="58">
        <f>IF($D7=0,"",AVERAGEIFS('Medições Corporais'!$G$4:$G$147,'Medições Corporais'!$A$4:$A$147,"&gt;="&amp;$B7,'Medições Corporais'!$A$4:$A$147,"&lt;"&amp;$C7+1))</f>
        <v/>
      </c>
      <c r="L7" s="58">
        <f>IF($D7=0,"",AVERAGEIFS('Medições Corporais'!$I$4:$I$147,'Medições Corporais'!$A$4:$A$147,"&gt;="&amp;$B7,'Medições Corporais'!$A$4:$A$147,"&lt;"&amp;$C7+1))</f>
        <v/>
      </c>
      <c r="M7" s="58">
        <f>IF($D7=0,"",AVERAGEIFS('Medições Corporais'!$E$4:$E$147,'Medições Corporais'!$A$4:$A$147,"&gt;="&amp;$B7,'Medições Corporais'!$A$4:$A$147,"&lt;"&amp;$C7+1))</f>
        <v/>
      </c>
      <c r="N7" s="58">
        <f>IF($D7=0,"",AVERAGEIFS('Medições Corporais'!$H$4:$H$147,'Medições Corporais'!$A$4:$A$147,"&gt;="&amp;$B7,'Medições Corporais'!$A$4:$A$147,"&lt;"&amp;$C7+1))</f>
        <v/>
      </c>
      <c r="O7" s="58">
        <f>IF($D7=0,"",AVERAGEIFS('Medições Corporais'!$F$4:$F$147,'Medições Corporais'!$A$4:$A$147,"&gt;="&amp;$B7,'Medições Corporais'!$A$4:$A$147,"&lt;"&amp;$C7+1))</f>
        <v/>
      </c>
      <c r="P7" s="60">
        <f>IF($D7=0,"",AVERAGEIFS('Medições Corporais'!$C$4:$C$147,'Medições Corporais'!$A$4:$A$147,"&gt;="&amp;$B7,'Medições Corporais'!$A$4:$A$147,"&lt;"&amp;$C7+1))</f>
        <v/>
      </c>
      <c r="Q7" s="60">
        <f>IF($D7=0,"",AVERAGEIFS('Medições Corporais'!$J$4:$J$147,'Medições Corporais'!$A$4:$A$147,"&gt;="&amp;$B7,'Medições Corporais'!$A$4:$A$147,"&lt;"&amp;$C7+1))</f>
        <v/>
      </c>
      <c r="R7" s="60">
        <f>IF($D7=0,"",AVERAGEIFS('Medições Corporais'!$L$4:$L$147,'Medições Corporais'!$A$4:$A$147,"&gt;="&amp;$B7,'Medições Corporais'!$A$4:$A$147,"&lt;"&amp;$C7+1))</f>
        <v/>
      </c>
      <c r="S7" s="60">
        <f>IF($D7=0,"",AVERAGEIFS('Medições Corporais'!$M$4:$M$147,'Medições Corporais'!$A$4:$A$147,"&gt;="&amp;$B7,'Medições Corporais'!$A$4:$A$147,"&lt;"&amp;$C7+1))</f>
        <v/>
      </c>
      <c r="T7" s="60">
        <f>IFERROR(AVERAGEIFS('Medidas Manuais'!$C$4:$C$25,'Medidas Manuais'!$B$4:$B$25,"&gt;="&amp;$B7,'Medidas Manuais'!$B$4:$B$25,"&lt;"&amp;$C7+1),"")</f>
        <v/>
      </c>
      <c r="U7" s="60">
        <f>IFERROR(AVERAGEIFS('Medidas Manuais'!$E$4:$E$25,'Medidas Manuais'!$B$4:$B$25,"&gt;="&amp;$B7,'Medidas Manuais'!$B$4:$B$25,"&lt;"&amp;$C7+1),"")</f>
        <v/>
      </c>
    </row>
    <row r="8">
      <c r="A8" s="54" t="n">
        <v>46143</v>
      </c>
      <c r="B8" s="55" t="n">
        <v>46143</v>
      </c>
      <c r="C8" s="55" t="n">
        <v>46173</v>
      </c>
      <c r="D8" s="56">
        <f>COUNTIFS('Medições Corporais'!$A$4:$A$147,"&gt;="&amp;$B8,'Medições Corporais'!$A$4:$A$147,"&lt;"&amp;$C8+1)</f>
        <v/>
      </c>
      <c r="E8" s="56">
        <f>SUMPRODUCT(('Medições Corporais'!$Q$4:$Q$147&gt;=$B8)*('Medições Corporais'!$Q$4:$Q$147&lt;=$C8)/COUNTIF('Medições Corporais'!$Q$4:$Q$147,'Medições Corporais'!$Q$4:$Q$147))</f>
        <v/>
      </c>
      <c r="F8" s="57">
        <f>IF($D8=0,"",IF(OR($B8&lt;DATE(2026,1,4),$C8&gt;MAX('Medições Corporais'!$Q$4:$Q$147)),"Sim","Não"))</f>
        <v/>
      </c>
      <c r="G8" s="58">
        <f>IF($D8=0,"",AVERAGEIFS('Medições Corporais'!$B$4:$B$147,'Medições Corporais'!$A$4:$A$147,"&gt;="&amp;$B8,'Medições Corporais'!$A$4:$A$147,"&lt;"&amp;$C8+1))</f>
        <v/>
      </c>
      <c r="H8" s="59">
        <f>IF(OR(G8="",G7=""),"",G8-G7)</f>
        <v/>
      </c>
      <c r="I8" s="60">
        <f>IF($D8=0,"",AVERAGEIFS('Medições Corporais'!$D$4:$D$147,'Medições Corporais'!$A$4:$A$147,"&gt;="&amp;$B8,'Medições Corporais'!$A$4:$A$147,"&lt;"&amp;$C8+1))</f>
        <v/>
      </c>
      <c r="J8" s="61">
        <f>IF(OR(I8="",I7=""),"",I8-I7)</f>
        <v/>
      </c>
      <c r="K8" s="58">
        <f>IF($D8=0,"",AVERAGEIFS('Medições Corporais'!$G$4:$G$147,'Medições Corporais'!$A$4:$A$147,"&gt;="&amp;$B8,'Medições Corporais'!$A$4:$A$147,"&lt;"&amp;$C8+1))</f>
        <v/>
      </c>
      <c r="L8" s="58">
        <f>IF($D8=0,"",AVERAGEIFS('Medições Corporais'!$I$4:$I$147,'Medições Corporais'!$A$4:$A$147,"&gt;="&amp;$B8,'Medições Corporais'!$A$4:$A$147,"&lt;"&amp;$C8+1))</f>
        <v/>
      </c>
      <c r="M8" s="58">
        <f>IF($D8=0,"",AVERAGEIFS('Medições Corporais'!$E$4:$E$147,'Medições Corporais'!$A$4:$A$147,"&gt;="&amp;$B8,'Medições Corporais'!$A$4:$A$147,"&lt;"&amp;$C8+1))</f>
        <v/>
      </c>
      <c r="N8" s="58">
        <f>IF($D8=0,"",AVERAGEIFS('Medições Corporais'!$H$4:$H$147,'Medições Corporais'!$A$4:$A$147,"&gt;="&amp;$B8,'Medições Corporais'!$A$4:$A$147,"&lt;"&amp;$C8+1))</f>
        <v/>
      </c>
      <c r="O8" s="58">
        <f>IF($D8=0,"",AVERAGEIFS('Medições Corporais'!$F$4:$F$147,'Medições Corporais'!$A$4:$A$147,"&gt;="&amp;$B8,'Medições Corporais'!$A$4:$A$147,"&lt;"&amp;$C8+1))</f>
        <v/>
      </c>
      <c r="P8" s="60">
        <f>IF($D8=0,"",AVERAGEIFS('Medições Corporais'!$C$4:$C$147,'Medições Corporais'!$A$4:$A$147,"&gt;="&amp;$B8,'Medições Corporais'!$A$4:$A$147,"&lt;"&amp;$C8+1))</f>
        <v/>
      </c>
      <c r="Q8" s="60">
        <f>IF($D8=0,"",AVERAGEIFS('Medições Corporais'!$J$4:$J$147,'Medições Corporais'!$A$4:$A$147,"&gt;="&amp;$B8,'Medições Corporais'!$A$4:$A$147,"&lt;"&amp;$C8+1))</f>
        <v/>
      </c>
      <c r="R8" s="60">
        <f>IF($D8=0,"",AVERAGEIFS('Medições Corporais'!$L$4:$L$147,'Medições Corporais'!$A$4:$A$147,"&gt;="&amp;$B8,'Medições Corporais'!$A$4:$A$147,"&lt;"&amp;$C8+1))</f>
        <v/>
      </c>
      <c r="S8" s="60">
        <f>IF($D8=0,"",AVERAGEIFS('Medições Corporais'!$M$4:$M$147,'Medições Corporais'!$A$4:$A$147,"&gt;="&amp;$B8,'Medições Corporais'!$A$4:$A$147,"&lt;"&amp;$C8+1))</f>
        <v/>
      </c>
      <c r="T8" s="60">
        <f>IFERROR(AVERAGEIFS('Medidas Manuais'!$C$4:$C$25,'Medidas Manuais'!$B$4:$B$25,"&gt;="&amp;$B8,'Medidas Manuais'!$B$4:$B$25,"&lt;"&amp;$C8+1),"")</f>
        <v/>
      </c>
      <c r="U8" s="60">
        <f>IFERROR(AVERAGEIFS('Medidas Manuais'!$E$4:$E$25,'Medidas Manuais'!$B$4:$B$25,"&gt;="&amp;$B8,'Medidas Manuais'!$B$4:$B$25,"&lt;"&amp;$C8+1),"")</f>
        <v/>
      </c>
    </row>
    <row r="9">
      <c r="A9" s="54" t="n">
        <v>46174</v>
      </c>
      <c r="B9" s="55" t="n">
        <v>46174</v>
      </c>
      <c r="C9" s="55" t="n">
        <v>46203</v>
      </c>
      <c r="D9" s="56">
        <f>COUNTIFS('Medições Corporais'!$A$4:$A$147,"&gt;="&amp;$B9,'Medições Corporais'!$A$4:$A$147,"&lt;"&amp;$C9+1)</f>
        <v/>
      </c>
      <c r="E9" s="56">
        <f>SUMPRODUCT(('Medições Corporais'!$Q$4:$Q$147&gt;=$B9)*('Medições Corporais'!$Q$4:$Q$147&lt;=$C9)/COUNTIF('Medições Corporais'!$Q$4:$Q$147,'Medições Corporais'!$Q$4:$Q$147))</f>
        <v/>
      </c>
      <c r="F9" s="57">
        <f>IF($D9=0,"",IF(OR($B9&lt;DATE(2026,1,4),$C9&gt;MAX('Medições Corporais'!$Q$4:$Q$147)),"Sim","Não"))</f>
        <v/>
      </c>
      <c r="G9" s="58">
        <f>IF($D9=0,"",AVERAGEIFS('Medições Corporais'!$B$4:$B$147,'Medições Corporais'!$A$4:$A$147,"&gt;="&amp;$B9,'Medições Corporais'!$A$4:$A$147,"&lt;"&amp;$C9+1))</f>
        <v/>
      </c>
      <c r="H9" s="59">
        <f>IF(OR(G9="",G8=""),"",G9-G8)</f>
        <v/>
      </c>
      <c r="I9" s="60">
        <f>IF($D9=0,"",AVERAGEIFS('Medições Corporais'!$D$4:$D$147,'Medições Corporais'!$A$4:$A$147,"&gt;="&amp;$B9,'Medições Corporais'!$A$4:$A$147,"&lt;"&amp;$C9+1))</f>
        <v/>
      </c>
      <c r="J9" s="61">
        <f>IF(OR(I9="",I8=""),"",I9-I8)</f>
        <v/>
      </c>
      <c r="K9" s="58">
        <f>IF($D9=0,"",AVERAGEIFS('Medições Corporais'!$G$4:$G$147,'Medições Corporais'!$A$4:$A$147,"&gt;="&amp;$B9,'Medições Corporais'!$A$4:$A$147,"&lt;"&amp;$C9+1))</f>
        <v/>
      </c>
      <c r="L9" s="58">
        <f>IF($D9=0,"",AVERAGEIFS('Medições Corporais'!$I$4:$I$147,'Medições Corporais'!$A$4:$A$147,"&gt;="&amp;$B9,'Medições Corporais'!$A$4:$A$147,"&lt;"&amp;$C9+1))</f>
        <v/>
      </c>
      <c r="M9" s="58">
        <f>IF($D9=0,"",AVERAGEIFS('Medições Corporais'!$E$4:$E$147,'Medições Corporais'!$A$4:$A$147,"&gt;="&amp;$B9,'Medições Corporais'!$A$4:$A$147,"&lt;"&amp;$C9+1))</f>
        <v/>
      </c>
      <c r="N9" s="58">
        <f>IF($D9=0,"",AVERAGEIFS('Medições Corporais'!$H$4:$H$147,'Medições Corporais'!$A$4:$A$147,"&gt;="&amp;$B9,'Medições Corporais'!$A$4:$A$147,"&lt;"&amp;$C9+1))</f>
        <v/>
      </c>
      <c r="O9" s="58">
        <f>IF($D9=0,"",AVERAGEIFS('Medições Corporais'!$F$4:$F$147,'Medições Corporais'!$A$4:$A$147,"&gt;="&amp;$B9,'Medições Corporais'!$A$4:$A$147,"&lt;"&amp;$C9+1))</f>
        <v/>
      </c>
      <c r="P9" s="60">
        <f>IF($D9=0,"",AVERAGEIFS('Medições Corporais'!$C$4:$C$147,'Medições Corporais'!$A$4:$A$147,"&gt;="&amp;$B9,'Medições Corporais'!$A$4:$A$147,"&lt;"&amp;$C9+1))</f>
        <v/>
      </c>
      <c r="Q9" s="60">
        <f>IF($D9=0,"",AVERAGEIFS('Medições Corporais'!$J$4:$J$147,'Medições Corporais'!$A$4:$A$147,"&gt;="&amp;$B9,'Medições Corporais'!$A$4:$A$147,"&lt;"&amp;$C9+1))</f>
        <v/>
      </c>
      <c r="R9" s="60">
        <f>IF($D9=0,"",AVERAGEIFS('Medições Corporais'!$L$4:$L$147,'Medições Corporais'!$A$4:$A$147,"&gt;="&amp;$B9,'Medições Corporais'!$A$4:$A$147,"&lt;"&amp;$C9+1))</f>
        <v/>
      </c>
      <c r="S9" s="60">
        <f>IF($D9=0,"",AVERAGEIFS('Medições Corporais'!$M$4:$M$147,'Medições Corporais'!$A$4:$A$147,"&gt;="&amp;$B9,'Medições Corporais'!$A$4:$A$147,"&lt;"&amp;$C9+1))</f>
        <v/>
      </c>
      <c r="T9" s="60">
        <f>IFERROR(AVERAGEIFS('Medidas Manuais'!$C$4:$C$25,'Medidas Manuais'!$B$4:$B$25,"&gt;="&amp;$B9,'Medidas Manuais'!$B$4:$B$25,"&lt;"&amp;$C9+1),"")</f>
        <v/>
      </c>
      <c r="U9" s="60">
        <f>IFERROR(AVERAGEIFS('Medidas Manuais'!$E$4:$E$25,'Medidas Manuais'!$B$4:$B$25,"&gt;="&amp;$B9,'Medidas Manuais'!$B$4:$B$25,"&lt;"&amp;$C9+1),"")</f>
        <v/>
      </c>
    </row>
    <row r="11" ht="30" customHeight="1">
      <c r="B11" s="48" t="inlineStr">
        <is>
          <t>Médias aritméticas das leituras aceites do período (não médias diárias). Variação = média do período menos a do período anterior; gordura em pontos percentuais. 'Período parcial' = começa antes do início da transformação ou termina depois da última leitura. Cintura e pescoço: média das medições manuais com data nesse mês.</t>
        </is>
      </c>
    </row>
  </sheetData>
  <mergeCells count="3">
    <mergeCell ref="B11:O11"/>
    <mergeCell ref="B1:U1"/>
    <mergeCell ref="B2:U2"/>
  </mergeCells>
  <conditionalFormatting sqref="A4:U9">
    <cfRule type="expression" priority="1" dxfId="0">
      <formula>$D4=0</formula>
    </cfRule>
  </conditionalFormatting>
  <conditionalFormatting sqref="F4:F9">
    <cfRule type="expression" priority="2" dxfId="1">
      <formula>$F4="Sim"</formula>
    </cfRule>
  </conditionalFormatting>
  <pageMargins left="0.75" right="0.75" top="1" bottom="1" header="0.5" footer="0.5"/>
  <ignoredErrors>
    <ignoredError sqref="A1:Z3000" formula="1" formulaRange="1" numberStoredAsText="1"/>
  </ignoredErrors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0" customWidth="1" min="4" max="4"/>
    <col width="11" customWidth="1" min="5" max="5"/>
    <col width="10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3.5" customWidth="1" min="18" max="18"/>
    <col width="13.5" customWidth="1" min="19" max="19"/>
    <col width="13.5" customWidth="1" min="20" max="20"/>
    <col width="13.5" customWidth="1" min="21" max="21"/>
    <col width="13.5" customWidth="1" min="22" max="22"/>
  </cols>
  <sheetData>
    <row r="1" ht="32" customHeight="1">
      <c r="B1" s="1" t="inlineStr">
        <is>
          <t>Resumo semanal (domingo a sábado)</t>
        </is>
      </c>
    </row>
    <row r="2" ht="20" customHeight="1">
      <c r="B2" s="49" t="inlineStr">
        <is>
          <t>Atualizado em 11/10/2026 16:40</t>
        </is>
      </c>
    </row>
    <row r="3" ht="58" customHeight="1">
      <c r="A3" s="50" t="inlineStr">
        <is>
          <t>Semana</t>
        </is>
      </c>
      <c r="B3" s="50" t="inlineStr">
        <is>
          <t>Início</t>
        </is>
      </c>
      <c r="C3" s="50" t="inlineStr">
        <is>
          <t>Fim</t>
        </is>
      </c>
      <c r="D3" s="50" t="inlineStr">
        <is>
          <t>Leituras</t>
        </is>
      </c>
      <c r="E3" s="50" t="inlineStr">
        <is>
          <t>Dias com medição</t>
        </is>
      </c>
      <c r="F3" s="50" t="inlineStr">
        <is>
          <t>Período parcial</t>
        </is>
      </c>
      <c r="G3" s="51" t="inlineStr">
        <is>
          <t>Peso médio (kg)</t>
        </is>
      </c>
      <c r="H3" s="51" t="inlineStr">
        <is>
          <t>Variação do peso (kg)</t>
        </is>
      </c>
      <c r="I3" s="51" t="inlineStr">
        <is>
          <t>Gordura média (%)</t>
        </is>
      </c>
      <c r="J3" s="51" t="inlineStr">
        <is>
          <t>Variação da gordura (pp)</t>
        </is>
      </c>
      <c r="K3" s="52" t="inlineStr">
        <is>
          <t>Músculo médio (kg)</t>
        </is>
      </c>
      <c r="L3" s="52" t="inlineStr">
        <is>
          <t>Massa gorda média (kg)</t>
        </is>
      </c>
      <c r="M3" s="52" t="inlineStr">
        <is>
          <t>Água média (%)</t>
        </is>
      </c>
      <c r="N3" s="52" t="inlineStr">
        <is>
          <t>Proteína média (%)</t>
        </is>
      </c>
      <c r="O3" s="52" t="inlineStr">
        <is>
          <t>Massa óssea média (kg)</t>
        </is>
      </c>
      <c r="P3" s="52" t="inlineStr">
        <is>
          <t>IMC médio</t>
        </is>
      </c>
      <c r="Q3" s="52" t="inlineStr">
        <is>
          <t>Gordura visceral média (índice)</t>
        </is>
      </c>
      <c r="R3" s="52" t="inlineStr">
        <is>
          <t>Idade corporal média (anos)</t>
        </is>
      </c>
      <c r="S3" s="52" t="inlineStr">
        <is>
          <t>Pontuação corporal média</t>
        </is>
      </c>
      <c r="T3" s="53" t="inlineStr">
        <is>
          <t>Cintura (cm)</t>
        </is>
      </c>
      <c r="U3" s="53" t="inlineStr">
        <is>
          <t>Variação da cintura (cm)</t>
        </is>
      </c>
      <c r="V3" s="53" t="inlineStr">
        <is>
          <t>Pescoço (cm)</t>
        </is>
      </c>
    </row>
    <row r="4">
      <c r="A4" s="62" t="inlineStr">
        <is>
          <t>04/01/2026 - 10/01/2026</t>
        </is>
      </c>
      <c r="B4" s="55" t="n">
        <v>46026</v>
      </c>
      <c r="C4" s="55" t="n">
        <v>46032</v>
      </c>
      <c r="D4" s="56">
        <f>COUNTIFS('Medições Corporais'!$A$4:$A$147,"&gt;="&amp;$B4,'Medições Corporais'!$A$4:$A$147,"&lt;"&amp;$C4+1)</f>
        <v/>
      </c>
      <c r="E4" s="56">
        <f>SUMPRODUCT(('Medições Corporais'!$Q$4:$Q$147&gt;=$B4)*('Medições Corporais'!$Q$4:$Q$147&lt;=$C4)/COUNTIF('Medições Corporais'!$Q$4:$Q$147,'Medições Corporais'!$Q$4:$Q$147))</f>
        <v/>
      </c>
      <c r="F4" s="57">
        <f>IF($D4=0,"",IF(OR($B4&lt;DATE(2026,1,4),$C4&gt;MAX('Medições Corporais'!$Q$4:$Q$147)),"Sim","Não"))</f>
        <v/>
      </c>
      <c r="G4" s="58">
        <f>IF($D4=0,"",AVERAGEIFS('Medições Corporais'!$B$4:$B$147,'Medições Corporais'!$A$4:$A$147,"&gt;="&amp;$B4,'Medições Corporais'!$A$4:$A$147,"&lt;"&amp;$C4+1))</f>
        <v/>
      </c>
      <c r="H4" s="59">
        <f>""</f>
        <v/>
      </c>
      <c r="I4" s="60">
        <f>IF($D4=0,"",AVERAGEIFS('Medições Corporais'!$D$4:$D$147,'Medições Corporais'!$A$4:$A$147,"&gt;="&amp;$B4,'Medições Corporais'!$A$4:$A$147,"&lt;"&amp;$C4+1))</f>
        <v/>
      </c>
      <c r="J4" s="61">
        <f>""</f>
        <v/>
      </c>
      <c r="K4" s="58">
        <f>IF($D4=0,"",AVERAGEIFS('Medições Corporais'!$G$4:$G$147,'Medições Corporais'!$A$4:$A$147,"&gt;="&amp;$B4,'Medições Corporais'!$A$4:$A$147,"&lt;"&amp;$C4+1))</f>
        <v/>
      </c>
      <c r="L4" s="58">
        <f>IF($D4=0,"",AVERAGEIFS('Medições Corporais'!$I$4:$I$147,'Medições Corporais'!$A$4:$A$147,"&gt;="&amp;$B4,'Medições Corporais'!$A$4:$A$147,"&lt;"&amp;$C4+1))</f>
        <v/>
      </c>
      <c r="M4" s="58">
        <f>IF($D4=0,"",AVERAGEIFS('Medições Corporais'!$E$4:$E$147,'Medições Corporais'!$A$4:$A$147,"&gt;="&amp;$B4,'Medições Corporais'!$A$4:$A$147,"&lt;"&amp;$C4+1))</f>
        <v/>
      </c>
      <c r="N4" s="58">
        <f>IF($D4=0,"",AVERAGEIFS('Medições Corporais'!$H$4:$H$147,'Medições Corporais'!$A$4:$A$147,"&gt;="&amp;$B4,'Medições Corporais'!$A$4:$A$147,"&lt;"&amp;$C4+1))</f>
        <v/>
      </c>
      <c r="O4" s="58">
        <f>IF($D4=0,"",AVERAGEIFS('Medições Corporais'!$F$4:$F$147,'Medições Corporais'!$A$4:$A$147,"&gt;="&amp;$B4,'Medições Corporais'!$A$4:$A$147,"&lt;"&amp;$C4+1))</f>
        <v/>
      </c>
      <c r="P4" s="60">
        <f>IF($D4=0,"",AVERAGEIFS('Medições Corporais'!$C$4:$C$147,'Medições Corporais'!$A$4:$A$147,"&gt;="&amp;$B4,'Medições Corporais'!$A$4:$A$147,"&lt;"&amp;$C4+1))</f>
        <v/>
      </c>
      <c r="Q4" s="60">
        <f>IF($D4=0,"",AVERAGEIFS('Medições Corporais'!$J$4:$J$147,'Medições Corporais'!$A$4:$A$147,"&gt;="&amp;$B4,'Medições Corporais'!$A$4:$A$147,"&lt;"&amp;$C4+1))</f>
        <v/>
      </c>
      <c r="R4" s="60">
        <f>IF($D4=0,"",AVERAGEIFS('Medições Corporais'!$L$4:$L$147,'Medições Corporais'!$A$4:$A$147,"&gt;="&amp;$B4,'Medições Corporais'!$A$4:$A$147,"&lt;"&amp;$C4+1))</f>
        <v/>
      </c>
      <c r="S4" s="60">
        <f>IF($D4=0,"",AVERAGEIFS('Medições Corporais'!$M$4:$M$147,'Medições Corporais'!$A$4:$A$147,"&gt;="&amp;$B4,'Medições Corporais'!$A$4:$A$147,"&lt;"&amp;$C4+1))</f>
        <v/>
      </c>
      <c r="T4" s="60">
        <f>IFERROR(IF(INDEX('Medidas Manuais'!$C$4:$C$25,MATCH($A4,'Medidas Manuais'!$A$4:$A$25,0))="","",INDEX('Medidas Manuais'!$C$4:$C$25,MATCH($A4,'Medidas Manuais'!$A$4:$A$25,0))),"")</f>
        <v/>
      </c>
      <c r="U4" s="61">
        <f>IFERROR(IF(INDEX('Medidas Manuais'!$D$4:$D$25,MATCH($A4,'Medidas Manuais'!$A$4:$A$25,0))="","",INDEX('Medidas Manuais'!$D$4:$D$25,MATCH($A4,'Medidas Manuais'!$A$4:$A$25,0))),"")</f>
        <v/>
      </c>
      <c r="V4" s="60">
        <f>IFERROR(IF(INDEX('Medidas Manuais'!$E$4:$E$25,MATCH($A4,'Medidas Manuais'!$A$4:$A$25,0))="","",INDEX('Medidas Manuais'!$E$4:$E$25,MATCH($A4,'Medidas Manuais'!$A$4:$A$25,0))),"")</f>
        <v/>
      </c>
    </row>
    <row r="5">
      <c r="A5" s="62" t="inlineStr">
        <is>
          <t>11/01/2026 - 17/01/2026</t>
        </is>
      </c>
      <c r="B5" s="55" t="n">
        <v>46033</v>
      </c>
      <c r="C5" s="55" t="n">
        <v>46039</v>
      </c>
      <c r="D5" s="56">
        <f>COUNTIFS('Medições Corporais'!$A$4:$A$147,"&gt;="&amp;$B5,'Medições Corporais'!$A$4:$A$147,"&lt;"&amp;$C5+1)</f>
        <v/>
      </c>
      <c r="E5" s="56">
        <f>SUMPRODUCT(('Medições Corporais'!$Q$4:$Q$147&gt;=$B5)*('Medições Corporais'!$Q$4:$Q$147&lt;=$C5)/COUNTIF('Medições Corporais'!$Q$4:$Q$147,'Medições Corporais'!$Q$4:$Q$147))</f>
        <v/>
      </c>
      <c r="F5" s="57">
        <f>IF($D5=0,"",IF(OR($B5&lt;DATE(2026,1,4),$C5&gt;MAX('Medições Corporais'!$Q$4:$Q$147)),"Sim","Não"))</f>
        <v/>
      </c>
      <c r="G5" s="58">
        <f>IF($D5=0,"",AVERAGEIFS('Medições Corporais'!$B$4:$B$147,'Medições Corporais'!$A$4:$A$147,"&gt;="&amp;$B5,'Medições Corporais'!$A$4:$A$147,"&lt;"&amp;$C5+1))</f>
        <v/>
      </c>
      <c r="H5" s="59">
        <f>IF(OR(G5="",G4=""),"",G5-G4)</f>
        <v/>
      </c>
      <c r="I5" s="60">
        <f>IF($D5=0,"",AVERAGEIFS('Medições Corporais'!$D$4:$D$147,'Medições Corporais'!$A$4:$A$147,"&gt;="&amp;$B5,'Medições Corporais'!$A$4:$A$147,"&lt;"&amp;$C5+1))</f>
        <v/>
      </c>
      <c r="J5" s="61">
        <f>IF(OR(I5="",I4=""),"",I5-I4)</f>
        <v/>
      </c>
      <c r="K5" s="58">
        <f>IF($D5=0,"",AVERAGEIFS('Medições Corporais'!$G$4:$G$147,'Medições Corporais'!$A$4:$A$147,"&gt;="&amp;$B5,'Medições Corporais'!$A$4:$A$147,"&lt;"&amp;$C5+1))</f>
        <v/>
      </c>
      <c r="L5" s="58">
        <f>IF($D5=0,"",AVERAGEIFS('Medições Corporais'!$I$4:$I$147,'Medições Corporais'!$A$4:$A$147,"&gt;="&amp;$B5,'Medições Corporais'!$A$4:$A$147,"&lt;"&amp;$C5+1))</f>
        <v/>
      </c>
      <c r="M5" s="58">
        <f>IF($D5=0,"",AVERAGEIFS('Medições Corporais'!$E$4:$E$147,'Medições Corporais'!$A$4:$A$147,"&gt;="&amp;$B5,'Medições Corporais'!$A$4:$A$147,"&lt;"&amp;$C5+1))</f>
        <v/>
      </c>
      <c r="N5" s="58">
        <f>IF($D5=0,"",AVERAGEIFS('Medições Corporais'!$H$4:$H$147,'Medições Corporais'!$A$4:$A$147,"&gt;="&amp;$B5,'Medições Corporais'!$A$4:$A$147,"&lt;"&amp;$C5+1))</f>
        <v/>
      </c>
      <c r="O5" s="58">
        <f>IF($D5=0,"",AVERAGEIFS('Medições Corporais'!$F$4:$F$147,'Medições Corporais'!$A$4:$A$147,"&gt;="&amp;$B5,'Medições Corporais'!$A$4:$A$147,"&lt;"&amp;$C5+1))</f>
        <v/>
      </c>
      <c r="P5" s="60">
        <f>IF($D5=0,"",AVERAGEIFS('Medições Corporais'!$C$4:$C$147,'Medições Corporais'!$A$4:$A$147,"&gt;="&amp;$B5,'Medições Corporais'!$A$4:$A$147,"&lt;"&amp;$C5+1))</f>
        <v/>
      </c>
      <c r="Q5" s="60">
        <f>IF($D5=0,"",AVERAGEIFS('Medições Corporais'!$J$4:$J$147,'Medições Corporais'!$A$4:$A$147,"&gt;="&amp;$B5,'Medições Corporais'!$A$4:$A$147,"&lt;"&amp;$C5+1))</f>
        <v/>
      </c>
      <c r="R5" s="60">
        <f>IF($D5=0,"",AVERAGEIFS('Medições Corporais'!$L$4:$L$147,'Medições Corporais'!$A$4:$A$147,"&gt;="&amp;$B5,'Medições Corporais'!$A$4:$A$147,"&lt;"&amp;$C5+1))</f>
        <v/>
      </c>
      <c r="S5" s="60">
        <f>IF($D5=0,"",AVERAGEIFS('Medições Corporais'!$M$4:$M$147,'Medições Corporais'!$A$4:$A$147,"&gt;="&amp;$B5,'Medições Corporais'!$A$4:$A$147,"&lt;"&amp;$C5+1))</f>
        <v/>
      </c>
      <c r="T5" s="60">
        <f>IFERROR(IF(INDEX('Medidas Manuais'!$C$4:$C$25,MATCH($A5,'Medidas Manuais'!$A$4:$A$25,0))="","",INDEX('Medidas Manuais'!$C$4:$C$25,MATCH($A5,'Medidas Manuais'!$A$4:$A$25,0))),"")</f>
        <v/>
      </c>
      <c r="U5" s="61">
        <f>IFERROR(IF(INDEX('Medidas Manuais'!$D$4:$D$25,MATCH($A5,'Medidas Manuais'!$A$4:$A$25,0))="","",INDEX('Medidas Manuais'!$D$4:$D$25,MATCH($A5,'Medidas Manuais'!$A$4:$A$25,0))),"")</f>
        <v/>
      </c>
      <c r="V5" s="60">
        <f>IFERROR(IF(INDEX('Medidas Manuais'!$E$4:$E$25,MATCH($A5,'Medidas Manuais'!$A$4:$A$25,0))="","",INDEX('Medidas Manuais'!$E$4:$E$25,MATCH($A5,'Medidas Manuais'!$A$4:$A$25,0))),"")</f>
        <v/>
      </c>
    </row>
    <row r="6">
      <c r="A6" s="62" t="inlineStr">
        <is>
          <t>18/01/2026 - 24/01/2026</t>
        </is>
      </c>
      <c r="B6" s="55" t="n">
        <v>46040</v>
      </c>
      <c r="C6" s="55" t="n">
        <v>46046</v>
      </c>
      <c r="D6" s="56">
        <f>COUNTIFS('Medições Corporais'!$A$4:$A$147,"&gt;="&amp;$B6,'Medições Corporais'!$A$4:$A$147,"&lt;"&amp;$C6+1)</f>
        <v/>
      </c>
      <c r="E6" s="56">
        <f>SUMPRODUCT(('Medições Corporais'!$Q$4:$Q$147&gt;=$B6)*('Medições Corporais'!$Q$4:$Q$147&lt;=$C6)/COUNTIF('Medições Corporais'!$Q$4:$Q$147,'Medições Corporais'!$Q$4:$Q$147))</f>
        <v/>
      </c>
      <c r="F6" s="57">
        <f>IF($D6=0,"",IF(OR($B6&lt;DATE(2026,1,4),$C6&gt;MAX('Medições Corporais'!$Q$4:$Q$147)),"Sim","Não"))</f>
        <v/>
      </c>
      <c r="G6" s="58">
        <f>IF($D6=0,"",AVERAGEIFS('Medições Corporais'!$B$4:$B$147,'Medições Corporais'!$A$4:$A$147,"&gt;="&amp;$B6,'Medições Corporais'!$A$4:$A$147,"&lt;"&amp;$C6+1))</f>
        <v/>
      </c>
      <c r="H6" s="59">
        <f>IF(OR(G6="",G5=""),"",G6-G5)</f>
        <v/>
      </c>
      <c r="I6" s="60">
        <f>IF($D6=0,"",AVERAGEIFS('Medições Corporais'!$D$4:$D$147,'Medições Corporais'!$A$4:$A$147,"&gt;="&amp;$B6,'Medições Corporais'!$A$4:$A$147,"&lt;"&amp;$C6+1))</f>
        <v/>
      </c>
      <c r="J6" s="61">
        <f>IF(OR(I6="",I5=""),"",I6-I5)</f>
        <v/>
      </c>
      <c r="K6" s="58">
        <f>IF($D6=0,"",AVERAGEIFS('Medições Corporais'!$G$4:$G$147,'Medições Corporais'!$A$4:$A$147,"&gt;="&amp;$B6,'Medições Corporais'!$A$4:$A$147,"&lt;"&amp;$C6+1))</f>
        <v/>
      </c>
      <c r="L6" s="58">
        <f>IF($D6=0,"",AVERAGEIFS('Medições Corporais'!$I$4:$I$147,'Medições Corporais'!$A$4:$A$147,"&gt;="&amp;$B6,'Medições Corporais'!$A$4:$A$147,"&lt;"&amp;$C6+1))</f>
        <v/>
      </c>
      <c r="M6" s="58">
        <f>IF($D6=0,"",AVERAGEIFS('Medições Corporais'!$E$4:$E$147,'Medições Corporais'!$A$4:$A$147,"&gt;="&amp;$B6,'Medições Corporais'!$A$4:$A$147,"&lt;"&amp;$C6+1))</f>
        <v/>
      </c>
      <c r="N6" s="58">
        <f>IF($D6=0,"",AVERAGEIFS('Medições Corporais'!$H$4:$H$147,'Medições Corporais'!$A$4:$A$147,"&gt;="&amp;$B6,'Medições Corporais'!$A$4:$A$147,"&lt;"&amp;$C6+1))</f>
        <v/>
      </c>
      <c r="O6" s="58">
        <f>IF($D6=0,"",AVERAGEIFS('Medições Corporais'!$F$4:$F$147,'Medições Corporais'!$A$4:$A$147,"&gt;="&amp;$B6,'Medições Corporais'!$A$4:$A$147,"&lt;"&amp;$C6+1))</f>
        <v/>
      </c>
      <c r="P6" s="60">
        <f>IF($D6=0,"",AVERAGEIFS('Medições Corporais'!$C$4:$C$147,'Medições Corporais'!$A$4:$A$147,"&gt;="&amp;$B6,'Medições Corporais'!$A$4:$A$147,"&lt;"&amp;$C6+1))</f>
        <v/>
      </c>
      <c r="Q6" s="60">
        <f>IF($D6=0,"",AVERAGEIFS('Medições Corporais'!$J$4:$J$147,'Medições Corporais'!$A$4:$A$147,"&gt;="&amp;$B6,'Medições Corporais'!$A$4:$A$147,"&lt;"&amp;$C6+1))</f>
        <v/>
      </c>
      <c r="R6" s="60">
        <f>IF($D6=0,"",AVERAGEIFS('Medições Corporais'!$L$4:$L$147,'Medições Corporais'!$A$4:$A$147,"&gt;="&amp;$B6,'Medições Corporais'!$A$4:$A$147,"&lt;"&amp;$C6+1))</f>
        <v/>
      </c>
      <c r="S6" s="60">
        <f>IF($D6=0,"",AVERAGEIFS('Medições Corporais'!$M$4:$M$147,'Medições Corporais'!$A$4:$A$147,"&gt;="&amp;$B6,'Medições Corporais'!$A$4:$A$147,"&lt;"&amp;$C6+1))</f>
        <v/>
      </c>
      <c r="T6" s="60">
        <f>IFERROR(IF(INDEX('Medidas Manuais'!$C$4:$C$25,MATCH($A6,'Medidas Manuais'!$A$4:$A$25,0))="","",INDEX('Medidas Manuais'!$C$4:$C$25,MATCH($A6,'Medidas Manuais'!$A$4:$A$25,0))),"")</f>
        <v/>
      </c>
      <c r="U6" s="61">
        <f>IFERROR(IF(INDEX('Medidas Manuais'!$D$4:$D$25,MATCH($A6,'Medidas Manuais'!$A$4:$A$25,0))="","",INDEX('Medidas Manuais'!$D$4:$D$25,MATCH($A6,'Medidas Manuais'!$A$4:$A$25,0))),"")</f>
        <v/>
      </c>
      <c r="V6" s="60">
        <f>IFERROR(IF(INDEX('Medidas Manuais'!$E$4:$E$25,MATCH($A6,'Medidas Manuais'!$A$4:$A$25,0))="","",INDEX('Medidas Manuais'!$E$4:$E$25,MATCH($A6,'Medidas Manuais'!$A$4:$A$25,0))),"")</f>
        <v/>
      </c>
    </row>
    <row r="7">
      <c r="A7" s="62" t="inlineStr">
        <is>
          <t>25/01/2026 - 31/01/2026</t>
        </is>
      </c>
      <c r="B7" s="55" t="n">
        <v>46047</v>
      </c>
      <c r="C7" s="55" t="n">
        <v>46053</v>
      </c>
      <c r="D7" s="56">
        <f>COUNTIFS('Medições Corporais'!$A$4:$A$147,"&gt;="&amp;$B7,'Medições Corporais'!$A$4:$A$147,"&lt;"&amp;$C7+1)</f>
        <v/>
      </c>
      <c r="E7" s="56">
        <f>SUMPRODUCT(('Medições Corporais'!$Q$4:$Q$147&gt;=$B7)*('Medições Corporais'!$Q$4:$Q$147&lt;=$C7)/COUNTIF('Medições Corporais'!$Q$4:$Q$147,'Medições Corporais'!$Q$4:$Q$147))</f>
        <v/>
      </c>
      <c r="F7" s="57">
        <f>IF($D7=0,"",IF(OR($B7&lt;DATE(2026,1,4),$C7&gt;MAX('Medições Corporais'!$Q$4:$Q$147)),"Sim","Não"))</f>
        <v/>
      </c>
      <c r="G7" s="58">
        <f>IF($D7=0,"",AVERAGEIFS('Medições Corporais'!$B$4:$B$147,'Medições Corporais'!$A$4:$A$147,"&gt;="&amp;$B7,'Medições Corporais'!$A$4:$A$147,"&lt;"&amp;$C7+1))</f>
        <v/>
      </c>
      <c r="H7" s="59">
        <f>IF(OR(G7="",G6=""),"",G7-G6)</f>
        <v/>
      </c>
      <c r="I7" s="60">
        <f>IF($D7=0,"",AVERAGEIFS('Medições Corporais'!$D$4:$D$147,'Medições Corporais'!$A$4:$A$147,"&gt;="&amp;$B7,'Medições Corporais'!$A$4:$A$147,"&lt;"&amp;$C7+1))</f>
        <v/>
      </c>
      <c r="J7" s="61">
        <f>IF(OR(I7="",I6=""),"",I7-I6)</f>
        <v/>
      </c>
      <c r="K7" s="58">
        <f>IF($D7=0,"",AVERAGEIFS('Medições Corporais'!$G$4:$G$147,'Medições Corporais'!$A$4:$A$147,"&gt;="&amp;$B7,'Medições Corporais'!$A$4:$A$147,"&lt;"&amp;$C7+1))</f>
        <v/>
      </c>
      <c r="L7" s="58">
        <f>IF($D7=0,"",AVERAGEIFS('Medições Corporais'!$I$4:$I$147,'Medições Corporais'!$A$4:$A$147,"&gt;="&amp;$B7,'Medições Corporais'!$A$4:$A$147,"&lt;"&amp;$C7+1))</f>
        <v/>
      </c>
      <c r="M7" s="58">
        <f>IF($D7=0,"",AVERAGEIFS('Medições Corporais'!$E$4:$E$147,'Medições Corporais'!$A$4:$A$147,"&gt;="&amp;$B7,'Medições Corporais'!$A$4:$A$147,"&lt;"&amp;$C7+1))</f>
        <v/>
      </c>
      <c r="N7" s="58">
        <f>IF($D7=0,"",AVERAGEIFS('Medições Corporais'!$H$4:$H$147,'Medições Corporais'!$A$4:$A$147,"&gt;="&amp;$B7,'Medições Corporais'!$A$4:$A$147,"&lt;"&amp;$C7+1))</f>
        <v/>
      </c>
      <c r="O7" s="58">
        <f>IF($D7=0,"",AVERAGEIFS('Medições Corporais'!$F$4:$F$147,'Medições Corporais'!$A$4:$A$147,"&gt;="&amp;$B7,'Medições Corporais'!$A$4:$A$147,"&lt;"&amp;$C7+1))</f>
        <v/>
      </c>
      <c r="P7" s="60">
        <f>IF($D7=0,"",AVERAGEIFS('Medições Corporais'!$C$4:$C$147,'Medições Corporais'!$A$4:$A$147,"&gt;="&amp;$B7,'Medições Corporais'!$A$4:$A$147,"&lt;"&amp;$C7+1))</f>
        <v/>
      </c>
      <c r="Q7" s="60">
        <f>IF($D7=0,"",AVERAGEIFS('Medições Corporais'!$J$4:$J$147,'Medições Corporais'!$A$4:$A$147,"&gt;="&amp;$B7,'Medições Corporais'!$A$4:$A$147,"&lt;"&amp;$C7+1))</f>
        <v/>
      </c>
      <c r="R7" s="60">
        <f>IF($D7=0,"",AVERAGEIFS('Medições Corporais'!$L$4:$L$147,'Medições Corporais'!$A$4:$A$147,"&gt;="&amp;$B7,'Medições Corporais'!$A$4:$A$147,"&lt;"&amp;$C7+1))</f>
        <v/>
      </c>
      <c r="S7" s="60">
        <f>IF($D7=0,"",AVERAGEIFS('Medições Corporais'!$M$4:$M$147,'Medições Corporais'!$A$4:$A$147,"&gt;="&amp;$B7,'Medições Corporais'!$A$4:$A$147,"&lt;"&amp;$C7+1))</f>
        <v/>
      </c>
      <c r="T7" s="60">
        <f>IFERROR(IF(INDEX('Medidas Manuais'!$C$4:$C$25,MATCH($A7,'Medidas Manuais'!$A$4:$A$25,0))="","",INDEX('Medidas Manuais'!$C$4:$C$25,MATCH($A7,'Medidas Manuais'!$A$4:$A$25,0))),"")</f>
        <v/>
      </c>
      <c r="U7" s="61">
        <f>IFERROR(IF(INDEX('Medidas Manuais'!$D$4:$D$25,MATCH($A7,'Medidas Manuais'!$A$4:$A$25,0))="","",INDEX('Medidas Manuais'!$D$4:$D$25,MATCH($A7,'Medidas Manuais'!$A$4:$A$25,0))),"")</f>
        <v/>
      </c>
      <c r="V7" s="60">
        <f>IFERROR(IF(INDEX('Medidas Manuais'!$E$4:$E$25,MATCH($A7,'Medidas Manuais'!$A$4:$A$25,0))="","",INDEX('Medidas Manuais'!$E$4:$E$25,MATCH($A7,'Medidas Manuais'!$A$4:$A$25,0))),"")</f>
        <v/>
      </c>
    </row>
    <row r="8">
      <c r="A8" s="62" t="inlineStr">
        <is>
          <t>01/02/2026 - 07/02/2026</t>
        </is>
      </c>
      <c r="B8" s="55" t="n">
        <v>46054</v>
      </c>
      <c r="C8" s="55" t="n">
        <v>46060</v>
      </c>
      <c r="D8" s="56">
        <f>COUNTIFS('Medições Corporais'!$A$4:$A$147,"&gt;="&amp;$B8,'Medições Corporais'!$A$4:$A$147,"&lt;"&amp;$C8+1)</f>
        <v/>
      </c>
      <c r="E8" s="56">
        <f>SUMPRODUCT(('Medições Corporais'!$Q$4:$Q$147&gt;=$B8)*('Medições Corporais'!$Q$4:$Q$147&lt;=$C8)/COUNTIF('Medições Corporais'!$Q$4:$Q$147,'Medições Corporais'!$Q$4:$Q$147))</f>
        <v/>
      </c>
      <c r="F8" s="57">
        <f>IF($D8=0,"",IF(OR($B8&lt;DATE(2026,1,4),$C8&gt;MAX('Medições Corporais'!$Q$4:$Q$147)),"Sim","Não"))</f>
        <v/>
      </c>
      <c r="G8" s="58">
        <f>IF($D8=0,"",AVERAGEIFS('Medições Corporais'!$B$4:$B$147,'Medições Corporais'!$A$4:$A$147,"&gt;="&amp;$B8,'Medições Corporais'!$A$4:$A$147,"&lt;"&amp;$C8+1))</f>
        <v/>
      </c>
      <c r="H8" s="59">
        <f>IF(OR(G8="",G7=""),"",G8-G7)</f>
        <v/>
      </c>
      <c r="I8" s="60">
        <f>IF($D8=0,"",AVERAGEIFS('Medições Corporais'!$D$4:$D$147,'Medições Corporais'!$A$4:$A$147,"&gt;="&amp;$B8,'Medições Corporais'!$A$4:$A$147,"&lt;"&amp;$C8+1))</f>
        <v/>
      </c>
      <c r="J8" s="61">
        <f>IF(OR(I8="",I7=""),"",I8-I7)</f>
        <v/>
      </c>
      <c r="K8" s="58">
        <f>IF($D8=0,"",AVERAGEIFS('Medições Corporais'!$G$4:$G$147,'Medições Corporais'!$A$4:$A$147,"&gt;="&amp;$B8,'Medições Corporais'!$A$4:$A$147,"&lt;"&amp;$C8+1))</f>
        <v/>
      </c>
      <c r="L8" s="58">
        <f>IF($D8=0,"",AVERAGEIFS('Medições Corporais'!$I$4:$I$147,'Medições Corporais'!$A$4:$A$147,"&gt;="&amp;$B8,'Medições Corporais'!$A$4:$A$147,"&lt;"&amp;$C8+1))</f>
        <v/>
      </c>
      <c r="M8" s="58">
        <f>IF($D8=0,"",AVERAGEIFS('Medições Corporais'!$E$4:$E$147,'Medições Corporais'!$A$4:$A$147,"&gt;="&amp;$B8,'Medições Corporais'!$A$4:$A$147,"&lt;"&amp;$C8+1))</f>
        <v/>
      </c>
      <c r="N8" s="58">
        <f>IF($D8=0,"",AVERAGEIFS('Medições Corporais'!$H$4:$H$147,'Medições Corporais'!$A$4:$A$147,"&gt;="&amp;$B8,'Medições Corporais'!$A$4:$A$147,"&lt;"&amp;$C8+1))</f>
        <v/>
      </c>
      <c r="O8" s="58">
        <f>IF($D8=0,"",AVERAGEIFS('Medições Corporais'!$F$4:$F$147,'Medições Corporais'!$A$4:$A$147,"&gt;="&amp;$B8,'Medições Corporais'!$A$4:$A$147,"&lt;"&amp;$C8+1))</f>
        <v/>
      </c>
      <c r="P8" s="60">
        <f>IF($D8=0,"",AVERAGEIFS('Medições Corporais'!$C$4:$C$147,'Medições Corporais'!$A$4:$A$147,"&gt;="&amp;$B8,'Medições Corporais'!$A$4:$A$147,"&lt;"&amp;$C8+1))</f>
        <v/>
      </c>
      <c r="Q8" s="60">
        <f>IF($D8=0,"",AVERAGEIFS('Medições Corporais'!$J$4:$J$147,'Medições Corporais'!$A$4:$A$147,"&gt;="&amp;$B8,'Medições Corporais'!$A$4:$A$147,"&lt;"&amp;$C8+1))</f>
        <v/>
      </c>
      <c r="R8" s="60">
        <f>IF($D8=0,"",AVERAGEIFS('Medições Corporais'!$L$4:$L$147,'Medições Corporais'!$A$4:$A$147,"&gt;="&amp;$B8,'Medições Corporais'!$A$4:$A$147,"&lt;"&amp;$C8+1))</f>
        <v/>
      </c>
      <c r="S8" s="60">
        <f>IF($D8=0,"",AVERAGEIFS('Medições Corporais'!$M$4:$M$147,'Medições Corporais'!$A$4:$A$147,"&gt;="&amp;$B8,'Medições Corporais'!$A$4:$A$147,"&lt;"&amp;$C8+1))</f>
        <v/>
      </c>
      <c r="T8" s="60">
        <f>IFERROR(IF(INDEX('Medidas Manuais'!$C$4:$C$25,MATCH($A8,'Medidas Manuais'!$A$4:$A$25,0))="","",INDEX('Medidas Manuais'!$C$4:$C$25,MATCH($A8,'Medidas Manuais'!$A$4:$A$25,0))),"")</f>
        <v/>
      </c>
      <c r="U8" s="61">
        <f>IFERROR(IF(INDEX('Medidas Manuais'!$D$4:$D$25,MATCH($A8,'Medidas Manuais'!$A$4:$A$25,0))="","",INDEX('Medidas Manuais'!$D$4:$D$25,MATCH($A8,'Medidas Manuais'!$A$4:$A$25,0))),"")</f>
        <v/>
      </c>
      <c r="V8" s="60">
        <f>IFERROR(IF(INDEX('Medidas Manuais'!$E$4:$E$25,MATCH($A8,'Medidas Manuais'!$A$4:$A$25,0))="","",INDEX('Medidas Manuais'!$E$4:$E$25,MATCH($A8,'Medidas Manuais'!$A$4:$A$25,0))),"")</f>
        <v/>
      </c>
    </row>
    <row r="9">
      <c r="A9" s="62" t="inlineStr">
        <is>
          <t>08/02/2026 - 14/02/2026</t>
        </is>
      </c>
      <c r="B9" s="55" t="n">
        <v>46061</v>
      </c>
      <c r="C9" s="55" t="n">
        <v>46067</v>
      </c>
      <c r="D9" s="56">
        <f>COUNTIFS('Medições Corporais'!$A$4:$A$147,"&gt;="&amp;$B9,'Medições Corporais'!$A$4:$A$147,"&lt;"&amp;$C9+1)</f>
        <v/>
      </c>
      <c r="E9" s="56">
        <f>SUMPRODUCT(('Medições Corporais'!$Q$4:$Q$147&gt;=$B9)*('Medições Corporais'!$Q$4:$Q$147&lt;=$C9)/COUNTIF('Medições Corporais'!$Q$4:$Q$147,'Medições Corporais'!$Q$4:$Q$147))</f>
        <v/>
      </c>
      <c r="F9" s="57">
        <f>IF($D9=0,"",IF(OR($B9&lt;DATE(2026,1,4),$C9&gt;MAX('Medições Corporais'!$Q$4:$Q$147)),"Sim","Não"))</f>
        <v/>
      </c>
      <c r="G9" s="58">
        <f>IF($D9=0,"",AVERAGEIFS('Medições Corporais'!$B$4:$B$147,'Medições Corporais'!$A$4:$A$147,"&gt;="&amp;$B9,'Medições Corporais'!$A$4:$A$147,"&lt;"&amp;$C9+1))</f>
        <v/>
      </c>
      <c r="H9" s="59">
        <f>IF(OR(G9="",G8=""),"",G9-G8)</f>
        <v/>
      </c>
      <c r="I9" s="60">
        <f>IF($D9=0,"",AVERAGEIFS('Medições Corporais'!$D$4:$D$147,'Medições Corporais'!$A$4:$A$147,"&gt;="&amp;$B9,'Medições Corporais'!$A$4:$A$147,"&lt;"&amp;$C9+1))</f>
        <v/>
      </c>
      <c r="J9" s="61">
        <f>IF(OR(I9="",I8=""),"",I9-I8)</f>
        <v/>
      </c>
      <c r="K9" s="58">
        <f>IF($D9=0,"",AVERAGEIFS('Medições Corporais'!$G$4:$G$147,'Medições Corporais'!$A$4:$A$147,"&gt;="&amp;$B9,'Medições Corporais'!$A$4:$A$147,"&lt;"&amp;$C9+1))</f>
        <v/>
      </c>
      <c r="L9" s="58">
        <f>IF($D9=0,"",AVERAGEIFS('Medições Corporais'!$I$4:$I$147,'Medições Corporais'!$A$4:$A$147,"&gt;="&amp;$B9,'Medições Corporais'!$A$4:$A$147,"&lt;"&amp;$C9+1))</f>
        <v/>
      </c>
      <c r="M9" s="58">
        <f>IF($D9=0,"",AVERAGEIFS('Medições Corporais'!$E$4:$E$147,'Medições Corporais'!$A$4:$A$147,"&gt;="&amp;$B9,'Medições Corporais'!$A$4:$A$147,"&lt;"&amp;$C9+1))</f>
        <v/>
      </c>
      <c r="N9" s="58">
        <f>IF($D9=0,"",AVERAGEIFS('Medições Corporais'!$H$4:$H$147,'Medições Corporais'!$A$4:$A$147,"&gt;="&amp;$B9,'Medições Corporais'!$A$4:$A$147,"&lt;"&amp;$C9+1))</f>
        <v/>
      </c>
      <c r="O9" s="58">
        <f>IF($D9=0,"",AVERAGEIFS('Medições Corporais'!$F$4:$F$147,'Medições Corporais'!$A$4:$A$147,"&gt;="&amp;$B9,'Medições Corporais'!$A$4:$A$147,"&lt;"&amp;$C9+1))</f>
        <v/>
      </c>
      <c r="P9" s="60">
        <f>IF($D9=0,"",AVERAGEIFS('Medições Corporais'!$C$4:$C$147,'Medições Corporais'!$A$4:$A$147,"&gt;="&amp;$B9,'Medições Corporais'!$A$4:$A$147,"&lt;"&amp;$C9+1))</f>
        <v/>
      </c>
      <c r="Q9" s="60">
        <f>IF($D9=0,"",AVERAGEIFS('Medições Corporais'!$J$4:$J$147,'Medições Corporais'!$A$4:$A$147,"&gt;="&amp;$B9,'Medições Corporais'!$A$4:$A$147,"&lt;"&amp;$C9+1))</f>
        <v/>
      </c>
      <c r="R9" s="60">
        <f>IF($D9=0,"",AVERAGEIFS('Medições Corporais'!$L$4:$L$147,'Medições Corporais'!$A$4:$A$147,"&gt;="&amp;$B9,'Medições Corporais'!$A$4:$A$147,"&lt;"&amp;$C9+1))</f>
        <v/>
      </c>
      <c r="S9" s="60">
        <f>IF($D9=0,"",AVERAGEIFS('Medições Corporais'!$M$4:$M$147,'Medições Corporais'!$A$4:$A$147,"&gt;="&amp;$B9,'Medições Corporais'!$A$4:$A$147,"&lt;"&amp;$C9+1))</f>
        <v/>
      </c>
      <c r="T9" s="60">
        <f>IFERROR(IF(INDEX('Medidas Manuais'!$C$4:$C$25,MATCH($A9,'Medidas Manuais'!$A$4:$A$25,0))="","",INDEX('Medidas Manuais'!$C$4:$C$25,MATCH($A9,'Medidas Manuais'!$A$4:$A$25,0))),"")</f>
        <v/>
      </c>
      <c r="U9" s="61">
        <f>IFERROR(IF(INDEX('Medidas Manuais'!$D$4:$D$25,MATCH($A9,'Medidas Manuais'!$A$4:$A$25,0))="","",INDEX('Medidas Manuais'!$D$4:$D$25,MATCH($A9,'Medidas Manuais'!$A$4:$A$25,0))),"")</f>
        <v/>
      </c>
      <c r="V9" s="60">
        <f>IFERROR(IF(INDEX('Medidas Manuais'!$E$4:$E$25,MATCH($A9,'Medidas Manuais'!$A$4:$A$25,0))="","",INDEX('Medidas Manuais'!$E$4:$E$25,MATCH($A9,'Medidas Manuais'!$A$4:$A$25,0))),"")</f>
        <v/>
      </c>
    </row>
    <row r="10">
      <c r="A10" s="62" t="inlineStr">
        <is>
          <t>15/02/2026 - 21/02/2026</t>
        </is>
      </c>
      <c r="B10" s="55" t="n">
        <v>46068</v>
      </c>
      <c r="C10" s="55" t="n">
        <v>46074</v>
      </c>
      <c r="D10" s="56">
        <f>COUNTIFS('Medições Corporais'!$A$4:$A$147,"&gt;="&amp;$B10,'Medições Corporais'!$A$4:$A$147,"&lt;"&amp;$C10+1)</f>
        <v/>
      </c>
      <c r="E10" s="56">
        <f>SUMPRODUCT(('Medições Corporais'!$Q$4:$Q$147&gt;=$B10)*('Medições Corporais'!$Q$4:$Q$147&lt;=$C10)/COUNTIF('Medições Corporais'!$Q$4:$Q$147,'Medições Corporais'!$Q$4:$Q$147))</f>
        <v/>
      </c>
      <c r="F10" s="57">
        <f>IF($D10=0,"",IF(OR($B10&lt;DATE(2026,1,4),$C10&gt;MAX('Medições Corporais'!$Q$4:$Q$147)),"Sim","Não"))</f>
        <v/>
      </c>
      <c r="G10" s="58">
        <f>IF($D10=0,"",AVERAGEIFS('Medições Corporais'!$B$4:$B$147,'Medições Corporais'!$A$4:$A$147,"&gt;="&amp;$B10,'Medições Corporais'!$A$4:$A$147,"&lt;"&amp;$C10+1))</f>
        <v/>
      </c>
      <c r="H10" s="59">
        <f>IF(OR(G10="",G9=""),"",G10-G9)</f>
        <v/>
      </c>
      <c r="I10" s="60">
        <f>IF($D10=0,"",AVERAGEIFS('Medições Corporais'!$D$4:$D$147,'Medições Corporais'!$A$4:$A$147,"&gt;="&amp;$B10,'Medições Corporais'!$A$4:$A$147,"&lt;"&amp;$C10+1))</f>
        <v/>
      </c>
      <c r="J10" s="61">
        <f>IF(OR(I10="",I9=""),"",I10-I9)</f>
        <v/>
      </c>
      <c r="K10" s="58">
        <f>IF($D10=0,"",AVERAGEIFS('Medições Corporais'!$G$4:$G$147,'Medições Corporais'!$A$4:$A$147,"&gt;="&amp;$B10,'Medições Corporais'!$A$4:$A$147,"&lt;"&amp;$C10+1))</f>
        <v/>
      </c>
      <c r="L10" s="58">
        <f>IF($D10=0,"",AVERAGEIFS('Medições Corporais'!$I$4:$I$147,'Medições Corporais'!$A$4:$A$147,"&gt;="&amp;$B10,'Medições Corporais'!$A$4:$A$147,"&lt;"&amp;$C10+1))</f>
        <v/>
      </c>
      <c r="M10" s="58">
        <f>IF($D10=0,"",AVERAGEIFS('Medições Corporais'!$E$4:$E$147,'Medições Corporais'!$A$4:$A$147,"&gt;="&amp;$B10,'Medições Corporais'!$A$4:$A$147,"&lt;"&amp;$C10+1))</f>
        <v/>
      </c>
      <c r="N10" s="58">
        <f>IF($D10=0,"",AVERAGEIFS('Medições Corporais'!$H$4:$H$147,'Medições Corporais'!$A$4:$A$147,"&gt;="&amp;$B10,'Medições Corporais'!$A$4:$A$147,"&lt;"&amp;$C10+1))</f>
        <v/>
      </c>
      <c r="O10" s="58">
        <f>IF($D10=0,"",AVERAGEIFS('Medições Corporais'!$F$4:$F$147,'Medições Corporais'!$A$4:$A$147,"&gt;="&amp;$B10,'Medições Corporais'!$A$4:$A$147,"&lt;"&amp;$C10+1))</f>
        <v/>
      </c>
      <c r="P10" s="60">
        <f>IF($D10=0,"",AVERAGEIFS('Medições Corporais'!$C$4:$C$147,'Medições Corporais'!$A$4:$A$147,"&gt;="&amp;$B10,'Medições Corporais'!$A$4:$A$147,"&lt;"&amp;$C10+1))</f>
        <v/>
      </c>
      <c r="Q10" s="60">
        <f>IF($D10=0,"",AVERAGEIFS('Medições Corporais'!$J$4:$J$147,'Medições Corporais'!$A$4:$A$147,"&gt;="&amp;$B10,'Medições Corporais'!$A$4:$A$147,"&lt;"&amp;$C10+1))</f>
        <v/>
      </c>
      <c r="R10" s="60">
        <f>IF($D10=0,"",AVERAGEIFS('Medições Corporais'!$L$4:$L$147,'Medições Corporais'!$A$4:$A$147,"&gt;="&amp;$B10,'Medições Corporais'!$A$4:$A$147,"&lt;"&amp;$C10+1))</f>
        <v/>
      </c>
      <c r="S10" s="60">
        <f>IF($D10=0,"",AVERAGEIFS('Medições Corporais'!$M$4:$M$147,'Medições Corporais'!$A$4:$A$147,"&gt;="&amp;$B10,'Medições Corporais'!$A$4:$A$147,"&lt;"&amp;$C10+1))</f>
        <v/>
      </c>
      <c r="T10" s="60">
        <f>IFERROR(IF(INDEX('Medidas Manuais'!$C$4:$C$25,MATCH($A10,'Medidas Manuais'!$A$4:$A$25,0))="","",INDEX('Medidas Manuais'!$C$4:$C$25,MATCH($A10,'Medidas Manuais'!$A$4:$A$25,0))),"")</f>
        <v/>
      </c>
      <c r="U10" s="61">
        <f>IFERROR(IF(INDEX('Medidas Manuais'!$D$4:$D$25,MATCH($A10,'Medidas Manuais'!$A$4:$A$25,0))="","",INDEX('Medidas Manuais'!$D$4:$D$25,MATCH($A10,'Medidas Manuais'!$A$4:$A$25,0))),"")</f>
        <v/>
      </c>
      <c r="V10" s="60">
        <f>IFERROR(IF(INDEX('Medidas Manuais'!$E$4:$E$25,MATCH($A10,'Medidas Manuais'!$A$4:$A$25,0))="","",INDEX('Medidas Manuais'!$E$4:$E$25,MATCH($A10,'Medidas Manuais'!$A$4:$A$25,0))),"")</f>
        <v/>
      </c>
    </row>
    <row r="11">
      <c r="A11" s="62" t="inlineStr">
        <is>
          <t>22/02/2026 - 28/02/2026</t>
        </is>
      </c>
      <c r="B11" s="55" t="n">
        <v>46075</v>
      </c>
      <c r="C11" s="55" t="n">
        <v>46081</v>
      </c>
      <c r="D11" s="56">
        <f>COUNTIFS('Medições Corporais'!$A$4:$A$147,"&gt;="&amp;$B11,'Medições Corporais'!$A$4:$A$147,"&lt;"&amp;$C11+1)</f>
        <v/>
      </c>
      <c r="E11" s="56">
        <f>SUMPRODUCT(('Medições Corporais'!$Q$4:$Q$147&gt;=$B11)*('Medições Corporais'!$Q$4:$Q$147&lt;=$C11)/COUNTIF('Medições Corporais'!$Q$4:$Q$147,'Medições Corporais'!$Q$4:$Q$147))</f>
        <v/>
      </c>
      <c r="F11" s="57">
        <f>IF($D11=0,"",IF(OR($B11&lt;DATE(2026,1,4),$C11&gt;MAX('Medições Corporais'!$Q$4:$Q$147)),"Sim","Não"))</f>
        <v/>
      </c>
      <c r="G11" s="58">
        <f>IF($D11=0,"",AVERAGEIFS('Medições Corporais'!$B$4:$B$147,'Medições Corporais'!$A$4:$A$147,"&gt;="&amp;$B11,'Medições Corporais'!$A$4:$A$147,"&lt;"&amp;$C11+1))</f>
        <v/>
      </c>
      <c r="H11" s="59">
        <f>IF(OR(G11="",G10=""),"",G11-G10)</f>
        <v/>
      </c>
      <c r="I11" s="60">
        <f>IF($D11=0,"",AVERAGEIFS('Medições Corporais'!$D$4:$D$147,'Medições Corporais'!$A$4:$A$147,"&gt;="&amp;$B11,'Medições Corporais'!$A$4:$A$147,"&lt;"&amp;$C11+1))</f>
        <v/>
      </c>
      <c r="J11" s="61">
        <f>IF(OR(I11="",I10=""),"",I11-I10)</f>
        <v/>
      </c>
      <c r="K11" s="58">
        <f>IF($D11=0,"",AVERAGEIFS('Medições Corporais'!$G$4:$G$147,'Medições Corporais'!$A$4:$A$147,"&gt;="&amp;$B11,'Medições Corporais'!$A$4:$A$147,"&lt;"&amp;$C11+1))</f>
        <v/>
      </c>
      <c r="L11" s="58">
        <f>IF($D11=0,"",AVERAGEIFS('Medições Corporais'!$I$4:$I$147,'Medições Corporais'!$A$4:$A$147,"&gt;="&amp;$B11,'Medições Corporais'!$A$4:$A$147,"&lt;"&amp;$C11+1))</f>
        <v/>
      </c>
      <c r="M11" s="58">
        <f>IF($D11=0,"",AVERAGEIFS('Medições Corporais'!$E$4:$E$147,'Medições Corporais'!$A$4:$A$147,"&gt;="&amp;$B11,'Medições Corporais'!$A$4:$A$147,"&lt;"&amp;$C11+1))</f>
        <v/>
      </c>
      <c r="N11" s="58">
        <f>IF($D11=0,"",AVERAGEIFS('Medições Corporais'!$H$4:$H$147,'Medições Corporais'!$A$4:$A$147,"&gt;="&amp;$B11,'Medições Corporais'!$A$4:$A$147,"&lt;"&amp;$C11+1))</f>
        <v/>
      </c>
      <c r="O11" s="58">
        <f>IF($D11=0,"",AVERAGEIFS('Medições Corporais'!$F$4:$F$147,'Medições Corporais'!$A$4:$A$147,"&gt;="&amp;$B11,'Medições Corporais'!$A$4:$A$147,"&lt;"&amp;$C11+1))</f>
        <v/>
      </c>
      <c r="P11" s="60">
        <f>IF($D11=0,"",AVERAGEIFS('Medições Corporais'!$C$4:$C$147,'Medições Corporais'!$A$4:$A$147,"&gt;="&amp;$B11,'Medições Corporais'!$A$4:$A$147,"&lt;"&amp;$C11+1))</f>
        <v/>
      </c>
      <c r="Q11" s="60">
        <f>IF($D11=0,"",AVERAGEIFS('Medições Corporais'!$J$4:$J$147,'Medições Corporais'!$A$4:$A$147,"&gt;="&amp;$B11,'Medições Corporais'!$A$4:$A$147,"&lt;"&amp;$C11+1))</f>
        <v/>
      </c>
      <c r="R11" s="60">
        <f>IF($D11=0,"",AVERAGEIFS('Medições Corporais'!$L$4:$L$147,'Medições Corporais'!$A$4:$A$147,"&gt;="&amp;$B11,'Medições Corporais'!$A$4:$A$147,"&lt;"&amp;$C11+1))</f>
        <v/>
      </c>
      <c r="S11" s="60">
        <f>IF($D11=0,"",AVERAGEIFS('Medições Corporais'!$M$4:$M$147,'Medições Corporais'!$A$4:$A$147,"&gt;="&amp;$B11,'Medições Corporais'!$A$4:$A$147,"&lt;"&amp;$C11+1))</f>
        <v/>
      </c>
      <c r="T11" s="60">
        <f>IFERROR(IF(INDEX('Medidas Manuais'!$C$4:$C$25,MATCH($A11,'Medidas Manuais'!$A$4:$A$25,0))="","",INDEX('Medidas Manuais'!$C$4:$C$25,MATCH($A11,'Medidas Manuais'!$A$4:$A$25,0))),"")</f>
        <v/>
      </c>
      <c r="U11" s="61">
        <f>IFERROR(IF(INDEX('Medidas Manuais'!$D$4:$D$25,MATCH($A11,'Medidas Manuais'!$A$4:$A$25,0))="","",INDEX('Medidas Manuais'!$D$4:$D$25,MATCH($A11,'Medidas Manuais'!$A$4:$A$25,0))),"")</f>
        <v/>
      </c>
      <c r="V11" s="60">
        <f>IFERROR(IF(INDEX('Medidas Manuais'!$E$4:$E$25,MATCH($A11,'Medidas Manuais'!$A$4:$A$25,0))="","",INDEX('Medidas Manuais'!$E$4:$E$25,MATCH($A11,'Medidas Manuais'!$A$4:$A$25,0))),"")</f>
        <v/>
      </c>
    </row>
    <row r="12">
      <c r="A12" s="62" t="inlineStr">
        <is>
          <t>01/03/2026 - 07/03/2026</t>
        </is>
      </c>
      <c r="B12" s="55" t="n">
        <v>46082</v>
      </c>
      <c r="C12" s="55" t="n">
        <v>46088</v>
      </c>
      <c r="D12" s="56">
        <f>COUNTIFS('Medições Corporais'!$A$4:$A$147,"&gt;="&amp;$B12,'Medições Corporais'!$A$4:$A$147,"&lt;"&amp;$C12+1)</f>
        <v/>
      </c>
      <c r="E12" s="56">
        <f>SUMPRODUCT(('Medições Corporais'!$Q$4:$Q$147&gt;=$B12)*('Medições Corporais'!$Q$4:$Q$147&lt;=$C12)/COUNTIF('Medições Corporais'!$Q$4:$Q$147,'Medições Corporais'!$Q$4:$Q$147))</f>
        <v/>
      </c>
      <c r="F12" s="57">
        <f>IF($D12=0,"",IF(OR($B12&lt;DATE(2026,1,4),$C12&gt;MAX('Medições Corporais'!$Q$4:$Q$147)),"Sim","Não"))</f>
        <v/>
      </c>
      <c r="G12" s="58">
        <f>IF($D12=0,"",AVERAGEIFS('Medições Corporais'!$B$4:$B$147,'Medições Corporais'!$A$4:$A$147,"&gt;="&amp;$B12,'Medições Corporais'!$A$4:$A$147,"&lt;"&amp;$C12+1))</f>
        <v/>
      </c>
      <c r="H12" s="59">
        <f>IF(OR(G12="",G11=""),"",G12-G11)</f>
        <v/>
      </c>
      <c r="I12" s="60">
        <f>IF($D12=0,"",AVERAGEIFS('Medições Corporais'!$D$4:$D$147,'Medições Corporais'!$A$4:$A$147,"&gt;="&amp;$B12,'Medições Corporais'!$A$4:$A$147,"&lt;"&amp;$C12+1))</f>
        <v/>
      </c>
      <c r="J12" s="61">
        <f>IF(OR(I12="",I11=""),"",I12-I11)</f>
        <v/>
      </c>
      <c r="K12" s="58">
        <f>IF($D12=0,"",AVERAGEIFS('Medições Corporais'!$G$4:$G$147,'Medições Corporais'!$A$4:$A$147,"&gt;="&amp;$B12,'Medições Corporais'!$A$4:$A$147,"&lt;"&amp;$C12+1))</f>
        <v/>
      </c>
      <c r="L12" s="58">
        <f>IF($D12=0,"",AVERAGEIFS('Medições Corporais'!$I$4:$I$147,'Medições Corporais'!$A$4:$A$147,"&gt;="&amp;$B12,'Medições Corporais'!$A$4:$A$147,"&lt;"&amp;$C12+1))</f>
        <v/>
      </c>
      <c r="M12" s="58">
        <f>IF($D12=0,"",AVERAGEIFS('Medições Corporais'!$E$4:$E$147,'Medições Corporais'!$A$4:$A$147,"&gt;="&amp;$B12,'Medições Corporais'!$A$4:$A$147,"&lt;"&amp;$C12+1))</f>
        <v/>
      </c>
      <c r="N12" s="58">
        <f>IF($D12=0,"",AVERAGEIFS('Medições Corporais'!$H$4:$H$147,'Medições Corporais'!$A$4:$A$147,"&gt;="&amp;$B12,'Medições Corporais'!$A$4:$A$147,"&lt;"&amp;$C12+1))</f>
        <v/>
      </c>
      <c r="O12" s="58">
        <f>IF($D12=0,"",AVERAGEIFS('Medições Corporais'!$F$4:$F$147,'Medições Corporais'!$A$4:$A$147,"&gt;="&amp;$B12,'Medições Corporais'!$A$4:$A$147,"&lt;"&amp;$C12+1))</f>
        <v/>
      </c>
      <c r="P12" s="60">
        <f>IF($D12=0,"",AVERAGEIFS('Medições Corporais'!$C$4:$C$147,'Medições Corporais'!$A$4:$A$147,"&gt;="&amp;$B12,'Medições Corporais'!$A$4:$A$147,"&lt;"&amp;$C12+1))</f>
        <v/>
      </c>
      <c r="Q12" s="60">
        <f>IF($D12=0,"",AVERAGEIFS('Medições Corporais'!$J$4:$J$147,'Medições Corporais'!$A$4:$A$147,"&gt;="&amp;$B12,'Medições Corporais'!$A$4:$A$147,"&lt;"&amp;$C12+1))</f>
        <v/>
      </c>
      <c r="R12" s="60">
        <f>IF($D12=0,"",AVERAGEIFS('Medições Corporais'!$L$4:$L$147,'Medições Corporais'!$A$4:$A$147,"&gt;="&amp;$B12,'Medições Corporais'!$A$4:$A$147,"&lt;"&amp;$C12+1))</f>
        <v/>
      </c>
      <c r="S12" s="60">
        <f>IF($D12=0,"",AVERAGEIFS('Medições Corporais'!$M$4:$M$147,'Medições Corporais'!$A$4:$A$147,"&gt;="&amp;$B12,'Medições Corporais'!$A$4:$A$147,"&lt;"&amp;$C12+1))</f>
        <v/>
      </c>
      <c r="T12" s="60">
        <f>IFERROR(IF(INDEX('Medidas Manuais'!$C$4:$C$25,MATCH($A12,'Medidas Manuais'!$A$4:$A$25,0))="","",INDEX('Medidas Manuais'!$C$4:$C$25,MATCH($A12,'Medidas Manuais'!$A$4:$A$25,0))),"")</f>
        <v/>
      </c>
      <c r="U12" s="61">
        <f>IFERROR(IF(INDEX('Medidas Manuais'!$D$4:$D$25,MATCH($A12,'Medidas Manuais'!$A$4:$A$25,0))="","",INDEX('Medidas Manuais'!$D$4:$D$25,MATCH($A12,'Medidas Manuais'!$A$4:$A$25,0))),"")</f>
        <v/>
      </c>
      <c r="V12" s="60">
        <f>IFERROR(IF(INDEX('Medidas Manuais'!$E$4:$E$25,MATCH($A12,'Medidas Manuais'!$A$4:$A$25,0))="","",INDEX('Medidas Manuais'!$E$4:$E$25,MATCH($A12,'Medidas Manuais'!$A$4:$A$25,0))),"")</f>
        <v/>
      </c>
    </row>
    <row r="13">
      <c r="A13" s="62" t="inlineStr">
        <is>
          <t>08/03/2026 - 14/03/2026</t>
        </is>
      </c>
      <c r="B13" s="55" t="n">
        <v>46089</v>
      </c>
      <c r="C13" s="55" t="n">
        <v>46095</v>
      </c>
      <c r="D13" s="56">
        <f>COUNTIFS('Medições Corporais'!$A$4:$A$147,"&gt;="&amp;$B13,'Medições Corporais'!$A$4:$A$147,"&lt;"&amp;$C13+1)</f>
        <v/>
      </c>
      <c r="E13" s="56">
        <f>SUMPRODUCT(('Medições Corporais'!$Q$4:$Q$147&gt;=$B13)*('Medições Corporais'!$Q$4:$Q$147&lt;=$C13)/COUNTIF('Medições Corporais'!$Q$4:$Q$147,'Medições Corporais'!$Q$4:$Q$147))</f>
        <v/>
      </c>
      <c r="F13" s="57">
        <f>IF($D13=0,"",IF(OR($B13&lt;DATE(2026,1,4),$C13&gt;MAX('Medições Corporais'!$Q$4:$Q$147)),"Sim","Não"))</f>
        <v/>
      </c>
      <c r="G13" s="58">
        <f>IF($D13=0,"",AVERAGEIFS('Medições Corporais'!$B$4:$B$147,'Medições Corporais'!$A$4:$A$147,"&gt;="&amp;$B13,'Medições Corporais'!$A$4:$A$147,"&lt;"&amp;$C13+1))</f>
        <v/>
      </c>
      <c r="H13" s="59">
        <f>IF(OR(G13="",G12=""),"",G13-G12)</f>
        <v/>
      </c>
      <c r="I13" s="60">
        <f>IF($D13=0,"",AVERAGEIFS('Medições Corporais'!$D$4:$D$147,'Medições Corporais'!$A$4:$A$147,"&gt;="&amp;$B13,'Medições Corporais'!$A$4:$A$147,"&lt;"&amp;$C13+1))</f>
        <v/>
      </c>
      <c r="J13" s="61">
        <f>IF(OR(I13="",I12=""),"",I13-I12)</f>
        <v/>
      </c>
      <c r="K13" s="58">
        <f>IF($D13=0,"",AVERAGEIFS('Medições Corporais'!$G$4:$G$147,'Medições Corporais'!$A$4:$A$147,"&gt;="&amp;$B13,'Medições Corporais'!$A$4:$A$147,"&lt;"&amp;$C13+1))</f>
        <v/>
      </c>
      <c r="L13" s="58">
        <f>IF($D13=0,"",AVERAGEIFS('Medições Corporais'!$I$4:$I$147,'Medições Corporais'!$A$4:$A$147,"&gt;="&amp;$B13,'Medições Corporais'!$A$4:$A$147,"&lt;"&amp;$C13+1))</f>
        <v/>
      </c>
      <c r="M13" s="58">
        <f>IF($D13=0,"",AVERAGEIFS('Medições Corporais'!$E$4:$E$147,'Medições Corporais'!$A$4:$A$147,"&gt;="&amp;$B13,'Medições Corporais'!$A$4:$A$147,"&lt;"&amp;$C13+1))</f>
        <v/>
      </c>
      <c r="N13" s="58">
        <f>IF($D13=0,"",AVERAGEIFS('Medições Corporais'!$H$4:$H$147,'Medições Corporais'!$A$4:$A$147,"&gt;="&amp;$B13,'Medições Corporais'!$A$4:$A$147,"&lt;"&amp;$C13+1))</f>
        <v/>
      </c>
      <c r="O13" s="58">
        <f>IF($D13=0,"",AVERAGEIFS('Medições Corporais'!$F$4:$F$147,'Medições Corporais'!$A$4:$A$147,"&gt;="&amp;$B13,'Medições Corporais'!$A$4:$A$147,"&lt;"&amp;$C13+1))</f>
        <v/>
      </c>
      <c r="P13" s="60">
        <f>IF($D13=0,"",AVERAGEIFS('Medições Corporais'!$C$4:$C$147,'Medições Corporais'!$A$4:$A$147,"&gt;="&amp;$B13,'Medições Corporais'!$A$4:$A$147,"&lt;"&amp;$C13+1))</f>
        <v/>
      </c>
      <c r="Q13" s="60">
        <f>IF($D13=0,"",AVERAGEIFS('Medições Corporais'!$J$4:$J$147,'Medições Corporais'!$A$4:$A$147,"&gt;="&amp;$B13,'Medições Corporais'!$A$4:$A$147,"&lt;"&amp;$C13+1))</f>
        <v/>
      </c>
      <c r="R13" s="60">
        <f>IF($D13=0,"",AVERAGEIFS('Medições Corporais'!$L$4:$L$147,'Medições Corporais'!$A$4:$A$147,"&gt;="&amp;$B13,'Medições Corporais'!$A$4:$A$147,"&lt;"&amp;$C13+1))</f>
        <v/>
      </c>
      <c r="S13" s="60">
        <f>IF($D13=0,"",AVERAGEIFS('Medições Corporais'!$M$4:$M$147,'Medições Corporais'!$A$4:$A$147,"&gt;="&amp;$B13,'Medições Corporais'!$A$4:$A$147,"&lt;"&amp;$C13+1))</f>
        <v/>
      </c>
      <c r="T13" s="60">
        <f>IFERROR(IF(INDEX('Medidas Manuais'!$C$4:$C$25,MATCH($A13,'Medidas Manuais'!$A$4:$A$25,0))="","",INDEX('Medidas Manuais'!$C$4:$C$25,MATCH($A13,'Medidas Manuais'!$A$4:$A$25,0))),"")</f>
        <v/>
      </c>
      <c r="U13" s="61">
        <f>IFERROR(IF(INDEX('Medidas Manuais'!$D$4:$D$25,MATCH($A13,'Medidas Manuais'!$A$4:$A$25,0))="","",INDEX('Medidas Manuais'!$D$4:$D$25,MATCH($A13,'Medidas Manuais'!$A$4:$A$25,0))),"")</f>
        <v/>
      </c>
      <c r="V13" s="60">
        <f>IFERROR(IF(INDEX('Medidas Manuais'!$E$4:$E$25,MATCH($A13,'Medidas Manuais'!$A$4:$A$25,0))="","",INDEX('Medidas Manuais'!$E$4:$E$25,MATCH($A13,'Medidas Manuais'!$A$4:$A$25,0))),"")</f>
        <v/>
      </c>
    </row>
    <row r="14">
      <c r="A14" s="62" t="inlineStr">
        <is>
          <t>15/03/2026 - 21/03/2026</t>
        </is>
      </c>
      <c r="B14" s="55" t="n">
        <v>46096</v>
      </c>
      <c r="C14" s="55" t="n">
        <v>46102</v>
      </c>
      <c r="D14" s="56">
        <f>COUNTIFS('Medições Corporais'!$A$4:$A$147,"&gt;="&amp;$B14,'Medições Corporais'!$A$4:$A$147,"&lt;"&amp;$C14+1)</f>
        <v/>
      </c>
      <c r="E14" s="56">
        <f>SUMPRODUCT(('Medições Corporais'!$Q$4:$Q$147&gt;=$B14)*('Medições Corporais'!$Q$4:$Q$147&lt;=$C14)/COUNTIF('Medições Corporais'!$Q$4:$Q$147,'Medições Corporais'!$Q$4:$Q$147))</f>
        <v/>
      </c>
      <c r="F14" s="57">
        <f>IF($D14=0,"",IF(OR($B14&lt;DATE(2026,1,4),$C14&gt;MAX('Medições Corporais'!$Q$4:$Q$147)),"Sim","Não"))</f>
        <v/>
      </c>
      <c r="G14" s="58">
        <f>IF($D14=0,"",AVERAGEIFS('Medições Corporais'!$B$4:$B$147,'Medições Corporais'!$A$4:$A$147,"&gt;="&amp;$B14,'Medições Corporais'!$A$4:$A$147,"&lt;"&amp;$C14+1))</f>
        <v/>
      </c>
      <c r="H14" s="59">
        <f>IF(OR(G14="",G13=""),"",G14-G13)</f>
        <v/>
      </c>
      <c r="I14" s="60">
        <f>IF($D14=0,"",AVERAGEIFS('Medições Corporais'!$D$4:$D$147,'Medições Corporais'!$A$4:$A$147,"&gt;="&amp;$B14,'Medições Corporais'!$A$4:$A$147,"&lt;"&amp;$C14+1))</f>
        <v/>
      </c>
      <c r="J14" s="61">
        <f>IF(OR(I14="",I13=""),"",I14-I13)</f>
        <v/>
      </c>
      <c r="K14" s="58">
        <f>IF($D14=0,"",AVERAGEIFS('Medições Corporais'!$G$4:$G$147,'Medições Corporais'!$A$4:$A$147,"&gt;="&amp;$B14,'Medições Corporais'!$A$4:$A$147,"&lt;"&amp;$C14+1))</f>
        <v/>
      </c>
      <c r="L14" s="58">
        <f>IF($D14=0,"",AVERAGEIFS('Medições Corporais'!$I$4:$I$147,'Medições Corporais'!$A$4:$A$147,"&gt;="&amp;$B14,'Medições Corporais'!$A$4:$A$147,"&lt;"&amp;$C14+1))</f>
        <v/>
      </c>
      <c r="M14" s="58">
        <f>IF($D14=0,"",AVERAGEIFS('Medições Corporais'!$E$4:$E$147,'Medições Corporais'!$A$4:$A$147,"&gt;="&amp;$B14,'Medições Corporais'!$A$4:$A$147,"&lt;"&amp;$C14+1))</f>
        <v/>
      </c>
      <c r="N14" s="58">
        <f>IF($D14=0,"",AVERAGEIFS('Medições Corporais'!$H$4:$H$147,'Medições Corporais'!$A$4:$A$147,"&gt;="&amp;$B14,'Medições Corporais'!$A$4:$A$147,"&lt;"&amp;$C14+1))</f>
        <v/>
      </c>
      <c r="O14" s="58">
        <f>IF($D14=0,"",AVERAGEIFS('Medições Corporais'!$F$4:$F$147,'Medições Corporais'!$A$4:$A$147,"&gt;="&amp;$B14,'Medições Corporais'!$A$4:$A$147,"&lt;"&amp;$C14+1))</f>
        <v/>
      </c>
      <c r="P14" s="60">
        <f>IF($D14=0,"",AVERAGEIFS('Medições Corporais'!$C$4:$C$147,'Medições Corporais'!$A$4:$A$147,"&gt;="&amp;$B14,'Medições Corporais'!$A$4:$A$147,"&lt;"&amp;$C14+1))</f>
        <v/>
      </c>
      <c r="Q14" s="60">
        <f>IF($D14=0,"",AVERAGEIFS('Medições Corporais'!$J$4:$J$147,'Medições Corporais'!$A$4:$A$147,"&gt;="&amp;$B14,'Medições Corporais'!$A$4:$A$147,"&lt;"&amp;$C14+1))</f>
        <v/>
      </c>
      <c r="R14" s="60">
        <f>IF($D14=0,"",AVERAGEIFS('Medições Corporais'!$L$4:$L$147,'Medições Corporais'!$A$4:$A$147,"&gt;="&amp;$B14,'Medições Corporais'!$A$4:$A$147,"&lt;"&amp;$C14+1))</f>
        <v/>
      </c>
      <c r="S14" s="60">
        <f>IF($D14=0,"",AVERAGEIFS('Medições Corporais'!$M$4:$M$147,'Medições Corporais'!$A$4:$A$147,"&gt;="&amp;$B14,'Medições Corporais'!$A$4:$A$147,"&lt;"&amp;$C14+1))</f>
        <v/>
      </c>
      <c r="T14" s="60">
        <f>IFERROR(IF(INDEX('Medidas Manuais'!$C$4:$C$25,MATCH($A14,'Medidas Manuais'!$A$4:$A$25,0))="","",INDEX('Medidas Manuais'!$C$4:$C$25,MATCH($A14,'Medidas Manuais'!$A$4:$A$25,0))),"")</f>
        <v/>
      </c>
      <c r="U14" s="61">
        <f>IFERROR(IF(INDEX('Medidas Manuais'!$D$4:$D$25,MATCH($A14,'Medidas Manuais'!$A$4:$A$25,0))="","",INDEX('Medidas Manuais'!$D$4:$D$25,MATCH($A14,'Medidas Manuais'!$A$4:$A$25,0))),"")</f>
        <v/>
      </c>
      <c r="V14" s="60">
        <f>IFERROR(IF(INDEX('Medidas Manuais'!$E$4:$E$25,MATCH($A14,'Medidas Manuais'!$A$4:$A$25,0))="","",INDEX('Medidas Manuais'!$E$4:$E$25,MATCH($A14,'Medidas Manuais'!$A$4:$A$25,0))),"")</f>
        <v/>
      </c>
    </row>
    <row r="15">
      <c r="A15" s="62" t="inlineStr">
        <is>
          <t>22/03/2026 - 28/03/2026</t>
        </is>
      </c>
      <c r="B15" s="55" t="n">
        <v>46103</v>
      </c>
      <c r="C15" s="55" t="n">
        <v>46109</v>
      </c>
      <c r="D15" s="56">
        <f>COUNTIFS('Medições Corporais'!$A$4:$A$147,"&gt;="&amp;$B15,'Medições Corporais'!$A$4:$A$147,"&lt;"&amp;$C15+1)</f>
        <v/>
      </c>
      <c r="E15" s="56">
        <f>SUMPRODUCT(('Medições Corporais'!$Q$4:$Q$147&gt;=$B15)*('Medições Corporais'!$Q$4:$Q$147&lt;=$C15)/COUNTIF('Medições Corporais'!$Q$4:$Q$147,'Medições Corporais'!$Q$4:$Q$147))</f>
        <v/>
      </c>
      <c r="F15" s="57">
        <f>IF($D15=0,"",IF(OR($B15&lt;DATE(2026,1,4),$C15&gt;MAX('Medições Corporais'!$Q$4:$Q$147)),"Sim","Não"))</f>
        <v/>
      </c>
      <c r="G15" s="58">
        <f>IF($D15=0,"",AVERAGEIFS('Medições Corporais'!$B$4:$B$147,'Medições Corporais'!$A$4:$A$147,"&gt;="&amp;$B15,'Medições Corporais'!$A$4:$A$147,"&lt;"&amp;$C15+1))</f>
        <v/>
      </c>
      <c r="H15" s="59">
        <f>IF(OR(G15="",G14=""),"",G15-G14)</f>
        <v/>
      </c>
      <c r="I15" s="60">
        <f>IF($D15=0,"",AVERAGEIFS('Medições Corporais'!$D$4:$D$147,'Medições Corporais'!$A$4:$A$147,"&gt;="&amp;$B15,'Medições Corporais'!$A$4:$A$147,"&lt;"&amp;$C15+1))</f>
        <v/>
      </c>
      <c r="J15" s="61">
        <f>IF(OR(I15="",I14=""),"",I15-I14)</f>
        <v/>
      </c>
      <c r="K15" s="58">
        <f>IF($D15=0,"",AVERAGEIFS('Medições Corporais'!$G$4:$G$147,'Medições Corporais'!$A$4:$A$147,"&gt;="&amp;$B15,'Medições Corporais'!$A$4:$A$147,"&lt;"&amp;$C15+1))</f>
        <v/>
      </c>
      <c r="L15" s="58">
        <f>IF($D15=0,"",AVERAGEIFS('Medições Corporais'!$I$4:$I$147,'Medições Corporais'!$A$4:$A$147,"&gt;="&amp;$B15,'Medições Corporais'!$A$4:$A$147,"&lt;"&amp;$C15+1))</f>
        <v/>
      </c>
      <c r="M15" s="58">
        <f>IF($D15=0,"",AVERAGEIFS('Medições Corporais'!$E$4:$E$147,'Medições Corporais'!$A$4:$A$147,"&gt;="&amp;$B15,'Medições Corporais'!$A$4:$A$147,"&lt;"&amp;$C15+1))</f>
        <v/>
      </c>
      <c r="N15" s="58">
        <f>IF($D15=0,"",AVERAGEIFS('Medições Corporais'!$H$4:$H$147,'Medições Corporais'!$A$4:$A$147,"&gt;="&amp;$B15,'Medições Corporais'!$A$4:$A$147,"&lt;"&amp;$C15+1))</f>
        <v/>
      </c>
      <c r="O15" s="58">
        <f>IF($D15=0,"",AVERAGEIFS('Medições Corporais'!$F$4:$F$147,'Medições Corporais'!$A$4:$A$147,"&gt;="&amp;$B15,'Medições Corporais'!$A$4:$A$147,"&lt;"&amp;$C15+1))</f>
        <v/>
      </c>
      <c r="P15" s="60">
        <f>IF($D15=0,"",AVERAGEIFS('Medições Corporais'!$C$4:$C$147,'Medições Corporais'!$A$4:$A$147,"&gt;="&amp;$B15,'Medições Corporais'!$A$4:$A$147,"&lt;"&amp;$C15+1))</f>
        <v/>
      </c>
      <c r="Q15" s="60">
        <f>IF($D15=0,"",AVERAGEIFS('Medições Corporais'!$J$4:$J$147,'Medições Corporais'!$A$4:$A$147,"&gt;="&amp;$B15,'Medições Corporais'!$A$4:$A$147,"&lt;"&amp;$C15+1))</f>
        <v/>
      </c>
      <c r="R15" s="60">
        <f>IF($D15=0,"",AVERAGEIFS('Medições Corporais'!$L$4:$L$147,'Medições Corporais'!$A$4:$A$147,"&gt;="&amp;$B15,'Medições Corporais'!$A$4:$A$147,"&lt;"&amp;$C15+1))</f>
        <v/>
      </c>
      <c r="S15" s="60">
        <f>IF($D15=0,"",AVERAGEIFS('Medições Corporais'!$M$4:$M$147,'Medições Corporais'!$A$4:$A$147,"&gt;="&amp;$B15,'Medições Corporais'!$A$4:$A$147,"&lt;"&amp;$C15+1))</f>
        <v/>
      </c>
      <c r="T15" s="60">
        <f>IFERROR(IF(INDEX('Medidas Manuais'!$C$4:$C$25,MATCH($A15,'Medidas Manuais'!$A$4:$A$25,0))="","",INDEX('Medidas Manuais'!$C$4:$C$25,MATCH($A15,'Medidas Manuais'!$A$4:$A$25,0))),"")</f>
        <v/>
      </c>
      <c r="U15" s="61">
        <f>IFERROR(IF(INDEX('Medidas Manuais'!$D$4:$D$25,MATCH($A15,'Medidas Manuais'!$A$4:$A$25,0))="","",INDEX('Medidas Manuais'!$D$4:$D$25,MATCH($A15,'Medidas Manuais'!$A$4:$A$25,0))),"")</f>
        <v/>
      </c>
      <c r="V15" s="60">
        <f>IFERROR(IF(INDEX('Medidas Manuais'!$E$4:$E$25,MATCH($A15,'Medidas Manuais'!$A$4:$A$25,0))="","",INDEX('Medidas Manuais'!$E$4:$E$25,MATCH($A15,'Medidas Manuais'!$A$4:$A$25,0))),"")</f>
        <v/>
      </c>
    </row>
    <row r="16">
      <c r="A16" s="62" t="inlineStr">
        <is>
          <t>29/03/2026 - 04/04/2026</t>
        </is>
      </c>
      <c r="B16" s="55" t="n">
        <v>46110</v>
      </c>
      <c r="C16" s="55" t="n">
        <v>46116</v>
      </c>
      <c r="D16" s="56">
        <f>COUNTIFS('Medições Corporais'!$A$4:$A$147,"&gt;="&amp;$B16,'Medições Corporais'!$A$4:$A$147,"&lt;"&amp;$C16+1)</f>
        <v/>
      </c>
      <c r="E16" s="56">
        <f>SUMPRODUCT(('Medições Corporais'!$Q$4:$Q$147&gt;=$B16)*('Medições Corporais'!$Q$4:$Q$147&lt;=$C16)/COUNTIF('Medições Corporais'!$Q$4:$Q$147,'Medições Corporais'!$Q$4:$Q$147))</f>
        <v/>
      </c>
      <c r="F16" s="57">
        <f>IF($D16=0,"",IF(OR($B16&lt;DATE(2026,1,4),$C16&gt;MAX('Medições Corporais'!$Q$4:$Q$147)),"Sim","Não"))</f>
        <v/>
      </c>
      <c r="G16" s="58">
        <f>IF($D16=0,"",AVERAGEIFS('Medições Corporais'!$B$4:$B$147,'Medições Corporais'!$A$4:$A$147,"&gt;="&amp;$B16,'Medições Corporais'!$A$4:$A$147,"&lt;"&amp;$C16+1))</f>
        <v/>
      </c>
      <c r="H16" s="59">
        <f>IF(OR(G16="",G15=""),"",G16-G15)</f>
        <v/>
      </c>
      <c r="I16" s="60">
        <f>IF($D16=0,"",AVERAGEIFS('Medições Corporais'!$D$4:$D$147,'Medições Corporais'!$A$4:$A$147,"&gt;="&amp;$B16,'Medições Corporais'!$A$4:$A$147,"&lt;"&amp;$C16+1))</f>
        <v/>
      </c>
      <c r="J16" s="61">
        <f>IF(OR(I16="",I15=""),"",I16-I15)</f>
        <v/>
      </c>
      <c r="K16" s="58">
        <f>IF($D16=0,"",AVERAGEIFS('Medições Corporais'!$G$4:$G$147,'Medições Corporais'!$A$4:$A$147,"&gt;="&amp;$B16,'Medições Corporais'!$A$4:$A$147,"&lt;"&amp;$C16+1))</f>
        <v/>
      </c>
      <c r="L16" s="58">
        <f>IF($D16=0,"",AVERAGEIFS('Medições Corporais'!$I$4:$I$147,'Medições Corporais'!$A$4:$A$147,"&gt;="&amp;$B16,'Medições Corporais'!$A$4:$A$147,"&lt;"&amp;$C16+1))</f>
        <v/>
      </c>
      <c r="M16" s="58">
        <f>IF($D16=0,"",AVERAGEIFS('Medições Corporais'!$E$4:$E$147,'Medições Corporais'!$A$4:$A$147,"&gt;="&amp;$B16,'Medições Corporais'!$A$4:$A$147,"&lt;"&amp;$C16+1))</f>
        <v/>
      </c>
      <c r="N16" s="58">
        <f>IF($D16=0,"",AVERAGEIFS('Medições Corporais'!$H$4:$H$147,'Medições Corporais'!$A$4:$A$147,"&gt;="&amp;$B16,'Medições Corporais'!$A$4:$A$147,"&lt;"&amp;$C16+1))</f>
        <v/>
      </c>
      <c r="O16" s="58">
        <f>IF($D16=0,"",AVERAGEIFS('Medições Corporais'!$F$4:$F$147,'Medições Corporais'!$A$4:$A$147,"&gt;="&amp;$B16,'Medições Corporais'!$A$4:$A$147,"&lt;"&amp;$C16+1))</f>
        <v/>
      </c>
      <c r="P16" s="60">
        <f>IF($D16=0,"",AVERAGEIFS('Medições Corporais'!$C$4:$C$147,'Medições Corporais'!$A$4:$A$147,"&gt;="&amp;$B16,'Medições Corporais'!$A$4:$A$147,"&lt;"&amp;$C16+1))</f>
        <v/>
      </c>
      <c r="Q16" s="60">
        <f>IF($D16=0,"",AVERAGEIFS('Medições Corporais'!$J$4:$J$147,'Medições Corporais'!$A$4:$A$147,"&gt;="&amp;$B16,'Medições Corporais'!$A$4:$A$147,"&lt;"&amp;$C16+1))</f>
        <v/>
      </c>
      <c r="R16" s="60">
        <f>IF($D16=0,"",AVERAGEIFS('Medições Corporais'!$L$4:$L$147,'Medições Corporais'!$A$4:$A$147,"&gt;="&amp;$B16,'Medições Corporais'!$A$4:$A$147,"&lt;"&amp;$C16+1))</f>
        <v/>
      </c>
      <c r="S16" s="60">
        <f>IF($D16=0,"",AVERAGEIFS('Medições Corporais'!$M$4:$M$147,'Medições Corporais'!$A$4:$A$147,"&gt;="&amp;$B16,'Medições Corporais'!$A$4:$A$147,"&lt;"&amp;$C16+1))</f>
        <v/>
      </c>
      <c r="T16" s="60">
        <f>IFERROR(IF(INDEX('Medidas Manuais'!$C$4:$C$25,MATCH($A16,'Medidas Manuais'!$A$4:$A$25,0))="","",INDEX('Medidas Manuais'!$C$4:$C$25,MATCH($A16,'Medidas Manuais'!$A$4:$A$25,0))),"")</f>
        <v/>
      </c>
      <c r="U16" s="61">
        <f>IFERROR(IF(INDEX('Medidas Manuais'!$D$4:$D$25,MATCH($A16,'Medidas Manuais'!$A$4:$A$25,0))="","",INDEX('Medidas Manuais'!$D$4:$D$25,MATCH($A16,'Medidas Manuais'!$A$4:$A$25,0))),"")</f>
        <v/>
      </c>
      <c r="V16" s="60">
        <f>IFERROR(IF(INDEX('Medidas Manuais'!$E$4:$E$25,MATCH($A16,'Medidas Manuais'!$A$4:$A$25,0))="","",INDEX('Medidas Manuais'!$E$4:$E$25,MATCH($A16,'Medidas Manuais'!$A$4:$A$25,0))),"")</f>
        <v/>
      </c>
    </row>
    <row r="17">
      <c r="A17" s="62" t="inlineStr">
        <is>
          <t>05/04/2026 - 11/04/2026</t>
        </is>
      </c>
      <c r="B17" s="55" t="n">
        <v>46117</v>
      </c>
      <c r="C17" s="55" t="n">
        <v>46123</v>
      </c>
      <c r="D17" s="56">
        <f>COUNTIFS('Medições Corporais'!$A$4:$A$147,"&gt;="&amp;$B17,'Medições Corporais'!$A$4:$A$147,"&lt;"&amp;$C17+1)</f>
        <v/>
      </c>
      <c r="E17" s="56">
        <f>SUMPRODUCT(('Medições Corporais'!$Q$4:$Q$147&gt;=$B17)*('Medições Corporais'!$Q$4:$Q$147&lt;=$C17)/COUNTIF('Medições Corporais'!$Q$4:$Q$147,'Medições Corporais'!$Q$4:$Q$147))</f>
        <v/>
      </c>
      <c r="F17" s="57">
        <f>IF($D17=0,"",IF(OR($B17&lt;DATE(2026,1,4),$C17&gt;MAX('Medições Corporais'!$Q$4:$Q$147)),"Sim","Não"))</f>
        <v/>
      </c>
      <c r="G17" s="58">
        <f>IF($D17=0,"",AVERAGEIFS('Medições Corporais'!$B$4:$B$147,'Medições Corporais'!$A$4:$A$147,"&gt;="&amp;$B17,'Medições Corporais'!$A$4:$A$147,"&lt;"&amp;$C17+1))</f>
        <v/>
      </c>
      <c r="H17" s="59">
        <f>IF(OR(G17="",G16=""),"",G17-G16)</f>
        <v/>
      </c>
      <c r="I17" s="60">
        <f>IF($D17=0,"",AVERAGEIFS('Medições Corporais'!$D$4:$D$147,'Medições Corporais'!$A$4:$A$147,"&gt;="&amp;$B17,'Medições Corporais'!$A$4:$A$147,"&lt;"&amp;$C17+1))</f>
        <v/>
      </c>
      <c r="J17" s="61">
        <f>IF(OR(I17="",I16=""),"",I17-I16)</f>
        <v/>
      </c>
      <c r="K17" s="58">
        <f>IF($D17=0,"",AVERAGEIFS('Medições Corporais'!$G$4:$G$147,'Medições Corporais'!$A$4:$A$147,"&gt;="&amp;$B17,'Medições Corporais'!$A$4:$A$147,"&lt;"&amp;$C17+1))</f>
        <v/>
      </c>
      <c r="L17" s="58">
        <f>IF($D17=0,"",AVERAGEIFS('Medições Corporais'!$I$4:$I$147,'Medições Corporais'!$A$4:$A$147,"&gt;="&amp;$B17,'Medições Corporais'!$A$4:$A$147,"&lt;"&amp;$C17+1))</f>
        <v/>
      </c>
      <c r="M17" s="58">
        <f>IF($D17=0,"",AVERAGEIFS('Medições Corporais'!$E$4:$E$147,'Medições Corporais'!$A$4:$A$147,"&gt;="&amp;$B17,'Medições Corporais'!$A$4:$A$147,"&lt;"&amp;$C17+1))</f>
        <v/>
      </c>
      <c r="N17" s="58">
        <f>IF($D17=0,"",AVERAGEIFS('Medições Corporais'!$H$4:$H$147,'Medições Corporais'!$A$4:$A$147,"&gt;="&amp;$B17,'Medições Corporais'!$A$4:$A$147,"&lt;"&amp;$C17+1))</f>
        <v/>
      </c>
      <c r="O17" s="58">
        <f>IF($D17=0,"",AVERAGEIFS('Medições Corporais'!$F$4:$F$147,'Medições Corporais'!$A$4:$A$147,"&gt;="&amp;$B17,'Medições Corporais'!$A$4:$A$147,"&lt;"&amp;$C17+1))</f>
        <v/>
      </c>
      <c r="P17" s="60">
        <f>IF($D17=0,"",AVERAGEIFS('Medições Corporais'!$C$4:$C$147,'Medições Corporais'!$A$4:$A$147,"&gt;="&amp;$B17,'Medições Corporais'!$A$4:$A$147,"&lt;"&amp;$C17+1))</f>
        <v/>
      </c>
      <c r="Q17" s="60">
        <f>IF($D17=0,"",AVERAGEIFS('Medições Corporais'!$J$4:$J$147,'Medições Corporais'!$A$4:$A$147,"&gt;="&amp;$B17,'Medições Corporais'!$A$4:$A$147,"&lt;"&amp;$C17+1))</f>
        <v/>
      </c>
      <c r="R17" s="60">
        <f>IF($D17=0,"",AVERAGEIFS('Medições Corporais'!$L$4:$L$147,'Medições Corporais'!$A$4:$A$147,"&gt;="&amp;$B17,'Medições Corporais'!$A$4:$A$147,"&lt;"&amp;$C17+1))</f>
        <v/>
      </c>
      <c r="S17" s="60">
        <f>IF($D17=0,"",AVERAGEIFS('Medições Corporais'!$M$4:$M$147,'Medições Corporais'!$A$4:$A$147,"&gt;="&amp;$B17,'Medições Corporais'!$A$4:$A$147,"&lt;"&amp;$C17+1))</f>
        <v/>
      </c>
      <c r="T17" s="60">
        <f>IFERROR(IF(INDEX('Medidas Manuais'!$C$4:$C$25,MATCH($A17,'Medidas Manuais'!$A$4:$A$25,0))="","",INDEX('Medidas Manuais'!$C$4:$C$25,MATCH($A17,'Medidas Manuais'!$A$4:$A$25,0))),"")</f>
        <v/>
      </c>
      <c r="U17" s="61">
        <f>IFERROR(IF(INDEX('Medidas Manuais'!$D$4:$D$25,MATCH($A17,'Medidas Manuais'!$A$4:$A$25,0))="","",INDEX('Medidas Manuais'!$D$4:$D$25,MATCH($A17,'Medidas Manuais'!$A$4:$A$25,0))),"")</f>
        <v/>
      </c>
      <c r="V17" s="60">
        <f>IFERROR(IF(INDEX('Medidas Manuais'!$E$4:$E$25,MATCH($A17,'Medidas Manuais'!$A$4:$A$25,0))="","",INDEX('Medidas Manuais'!$E$4:$E$25,MATCH($A17,'Medidas Manuais'!$A$4:$A$25,0))),"")</f>
        <v/>
      </c>
    </row>
    <row r="18">
      <c r="A18" s="62" t="inlineStr">
        <is>
          <t>12/04/2026 - 18/04/2026</t>
        </is>
      </c>
      <c r="B18" s="55" t="n">
        <v>46124</v>
      </c>
      <c r="C18" s="55" t="n">
        <v>46130</v>
      </c>
      <c r="D18" s="56">
        <f>COUNTIFS('Medições Corporais'!$A$4:$A$147,"&gt;="&amp;$B18,'Medições Corporais'!$A$4:$A$147,"&lt;"&amp;$C18+1)</f>
        <v/>
      </c>
      <c r="E18" s="56">
        <f>SUMPRODUCT(('Medições Corporais'!$Q$4:$Q$147&gt;=$B18)*('Medições Corporais'!$Q$4:$Q$147&lt;=$C18)/COUNTIF('Medições Corporais'!$Q$4:$Q$147,'Medições Corporais'!$Q$4:$Q$147))</f>
        <v/>
      </c>
      <c r="F18" s="57">
        <f>IF($D18=0,"",IF(OR($B18&lt;DATE(2026,1,4),$C18&gt;MAX('Medições Corporais'!$Q$4:$Q$147)),"Sim","Não"))</f>
        <v/>
      </c>
      <c r="G18" s="58">
        <f>IF($D18=0,"",AVERAGEIFS('Medições Corporais'!$B$4:$B$147,'Medições Corporais'!$A$4:$A$147,"&gt;="&amp;$B18,'Medições Corporais'!$A$4:$A$147,"&lt;"&amp;$C18+1))</f>
        <v/>
      </c>
      <c r="H18" s="59">
        <f>IF(OR(G18="",G17=""),"",G18-G17)</f>
        <v/>
      </c>
      <c r="I18" s="60">
        <f>IF($D18=0,"",AVERAGEIFS('Medições Corporais'!$D$4:$D$147,'Medições Corporais'!$A$4:$A$147,"&gt;="&amp;$B18,'Medições Corporais'!$A$4:$A$147,"&lt;"&amp;$C18+1))</f>
        <v/>
      </c>
      <c r="J18" s="61">
        <f>IF(OR(I18="",I17=""),"",I18-I17)</f>
        <v/>
      </c>
      <c r="K18" s="58">
        <f>IF($D18=0,"",AVERAGEIFS('Medições Corporais'!$G$4:$G$147,'Medições Corporais'!$A$4:$A$147,"&gt;="&amp;$B18,'Medições Corporais'!$A$4:$A$147,"&lt;"&amp;$C18+1))</f>
        <v/>
      </c>
      <c r="L18" s="58">
        <f>IF($D18=0,"",AVERAGEIFS('Medições Corporais'!$I$4:$I$147,'Medições Corporais'!$A$4:$A$147,"&gt;="&amp;$B18,'Medições Corporais'!$A$4:$A$147,"&lt;"&amp;$C18+1))</f>
        <v/>
      </c>
      <c r="M18" s="58">
        <f>IF($D18=0,"",AVERAGEIFS('Medições Corporais'!$E$4:$E$147,'Medições Corporais'!$A$4:$A$147,"&gt;="&amp;$B18,'Medições Corporais'!$A$4:$A$147,"&lt;"&amp;$C18+1))</f>
        <v/>
      </c>
      <c r="N18" s="58">
        <f>IF($D18=0,"",AVERAGEIFS('Medições Corporais'!$H$4:$H$147,'Medições Corporais'!$A$4:$A$147,"&gt;="&amp;$B18,'Medições Corporais'!$A$4:$A$147,"&lt;"&amp;$C18+1))</f>
        <v/>
      </c>
      <c r="O18" s="58">
        <f>IF($D18=0,"",AVERAGEIFS('Medições Corporais'!$F$4:$F$147,'Medições Corporais'!$A$4:$A$147,"&gt;="&amp;$B18,'Medições Corporais'!$A$4:$A$147,"&lt;"&amp;$C18+1))</f>
        <v/>
      </c>
      <c r="P18" s="60">
        <f>IF($D18=0,"",AVERAGEIFS('Medições Corporais'!$C$4:$C$147,'Medições Corporais'!$A$4:$A$147,"&gt;="&amp;$B18,'Medições Corporais'!$A$4:$A$147,"&lt;"&amp;$C18+1))</f>
        <v/>
      </c>
      <c r="Q18" s="60">
        <f>IF($D18=0,"",AVERAGEIFS('Medições Corporais'!$J$4:$J$147,'Medições Corporais'!$A$4:$A$147,"&gt;="&amp;$B18,'Medições Corporais'!$A$4:$A$147,"&lt;"&amp;$C18+1))</f>
        <v/>
      </c>
      <c r="R18" s="60">
        <f>IF($D18=0,"",AVERAGEIFS('Medições Corporais'!$L$4:$L$147,'Medições Corporais'!$A$4:$A$147,"&gt;="&amp;$B18,'Medições Corporais'!$A$4:$A$147,"&lt;"&amp;$C18+1))</f>
        <v/>
      </c>
      <c r="S18" s="60">
        <f>IF($D18=0,"",AVERAGEIFS('Medições Corporais'!$M$4:$M$147,'Medições Corporais'!$A$4:$A$147,"&gt;="&amp;$B18,'Medições Corporais'!$A$4:$A$147,"&lt;"&amp;$C18+1))</f>
        <v/>
      </c>
      <c r="T18" s="60">
        <f>IFERROR(IF(INDEX('Medidas Manuais'!$C$4:$C$25,MATCH($A18,'Medidas Manuais'!$A$4:$A$25,0))="","",INDEX('Medidas Manuais'!$C$4:$C$25,MATCH($A18,'Medidas Manuais'!$A$4:$A$25,0))),"")</f>
        <v/>
      </c>
      <c r="U18" s="61">
        <f>IFERROR(IF(INDEX('Medidas Manuais'!$D$4:$D$25,MATCH($A18,'Medidas Manuais'!$A$4:$A$25,0))="","",INDEX('Medidas Manuais'!$D$4:$D$25,MATCH($A18,'Medidas Manuais'!$A$4:$A$25,0))),"")</f>
        <v/>
      </c>
      <c r="V18" s="60">
        <f>IFERROR(IF(INDEX('Medidas Manuais'!$E$4:$E$25,MATCH($A18,'Medidas Manuais'!$A$4:$A$25,0))="","",INDEX('Medidas Manuais'!$E$4:$E$25,MATCH($A18,'Medidas Manuais'!$A$4:$A$25,0))),"")</f>
        <v/>
      </c>
    </row>
    <row r="19">
      <c r="A19" s="62" t="inlineStr">
        <is>
          <t>19/04/2026 - 25/04/2026</t>
        </is>
      </c>
      <c r="B19" s="55" t="n">
        <v>46131</v>
      </c>
      <c r="C19" s="55" t="n">
        <v>46137</v>
      </c>
      <c r="D19" s="56">
        <f>COUNTIFS('Medições Corporais'!$A$4:$A$147,"&gt;="&amp;$B19,'Medições Corporais'!$A$4:$A$147,"&lt;"&amp;$C19+1)</f>
        <v/>
      </c>
      <c r="E19" s="56">
        <f>SUMPRODUCT(('Medições Corporais'!$Q$4:$Q$147&gt;=$B19)*('Medições Corporais'!$Q$4:$Q$147&lt;=$C19)/COUNTIF('Medições Corporais'!$Q$4:$Q$147,'Medições Corporais'!$Q$4:$Q$147))</f>
        <v/>
      </c>
      <c r="F19" s="57">
        <f>IF($D19=0,"",IF(OR($B19&lt;DATE(2026,1,4),$C19&gt;MAX('Medições Corporais'!$Q$4:$Q$147)),"Sim","Não"))</f>
        <v/>
      </c>
      <c r="G19" s="58">
        <f>IF($D19=0,"",AVERAGEIFS('Medições Corporais'!$B$4:$B$147,'Medições Corporais'!$A$4:$A$147,"&gt;="&amp;$B19,'Medições Corporais'!$A$4:$A$147,"&lt;"&amp;$C19+1))</f>
        <v/>
      </c>
      <c r="H19" s="59">
        <f>IF(OR(G19="",G18=""),"",G19-G18)</f>
        <v/>
      </c>
      <c r="I19" s="60">
        <f>IF($D19=0,"",AVERAGEIFS('Medições Corporais'!$D$4:$D$147,'Medições Corporais'!$A$4:$A$147,"&gt;="&amp;$B19,'Medições Corporais'!$A$4:$A$147,"&lt;"&amp;$C19+1))</f>
        <v/>
      </c>
      <c r="J19" s="61">
        <f>IF(OR(I19="",I18=""),"",I19-I18)</f>
        <v/>
      </c>
      <c r="K19" s="58">
        <f>IF($D19=0,"",AVERAGEIFS('Medições Corporais'!$G$4:$G$147,'Medições Corporais'!$A$4:$A$147,"&gt;="&amp;$B19,'Medições Corporais'!$A$4:$A$147,"&lt;"&amp;$C19+1))</f>
        <v/>
      </c>
      <c r="L19" s="58">
        <f>IF($D19=0,"",AVERAGEIFS('Medições Corporais'!$I$4:$I$147,'Medições Corporais'!$A$4:$A$147,"&gt;="&amp;$B19,'Medições Corporais'!$A$4:$A$147,"&lt;"&amp;$C19+1))</f>
        <v/>
      </c>
      <c r="M19" s="58">
        <f>IF($D19=0,"",AVERAGEIFS('Medições Corporais'!$E$4:$E$147,'Medições Corporais'!$A$4:$A$147,"&gt;="&amp;$B19,'Medições Corporais'!$A$4:$A$147,"&lt;"&amp;$C19+1))</f>
        <v/>
      </c>
      <c r="N19" s="58">
        <f>IF($D19=0,"",AVERAGEIFS('Medições Corporais'!$H$4:$H$147,'Medições Corporais'!$A$4:$A$147,"&gt;="&amp;$B19,'Medições Corporais'!$A$4:$A$147,"&lt;"&amp;$C19+1))</f>
        <v/>
      </c>
      <c r="O19" s="58">
        <f>IF($D19=0,"",AVERAGEIFS('Medições Corporais'!$F$4:$F$147,'Medições Corporais'!$A$4:$A$147,"&gt;="&amp;$B19,'Medições Corporais'!$A$4:$A$147,"&lt;"&amp;$C19+1))</f>
        <v/>
      </c>
      <c r="P19" s="60">
        <f>IF($D19=0,"",AVERAGEIFS('Medições Corporais'!$C$4:$C$147,'Medições Corporais'!$A$4:$A$147,"&gt;="&amp;$B19,'Medições Corporais'!$A$4:$A$147,"&lt;"&amp;$C19+1))</f>
        <v/>
      </c>
      <c r="Q19" s="60">
        <f>IF($D19=0,"",AVERAGEIFS('Medições Corporais'!$J$4:$J$147,'Medições Corporais'!$A$4:$A$147,"&gt;="&amp;$B19,'Medições Corporais'!$A$4:$A$147,"&lt;"&amp;$C19+1))</f>
        <v/>
      </c>
      <c r="R19" s="60">
        <f>IF($D19=0,"",AVERAGEIFS('Medições Corporais'!$L$4:$L$147,'Medições Corporais'!$A$4:$A$147,"&gt;="&amp;$B19,'Medições Corporais'!$A$4:$A$147,"&lt;"&amp;$C19+1))</f>
        <v/>
      </c>
      <c r="S19" s="60">
        <f>IF($D19=0,"",AVERAGEIFS('Medições Corporais'!$M$4:$M$147,'Medições Corporais'!$A$4:$A$147,"&gt;="&amp;$B19,'Medições Corporais'!$A$4:$A$147,"&lt;"&amp;$C19+1))</f>
        <v/>
      </c>
      <c r="T19" s="60">
        <f>IFERROR(IF(INDEX('Medidas Manuais'!$C$4:$C$25,MATCH($A19,'Medidas Manuais'!$A$4:$A$25,0))="","",INDEX('Medidas Manuais'!$C$4:$C$25,MATCH($A19,'Medidas Manuais'!$A$4:$A$25,0))),"")</f>
        <v/>
      </c>
      <c r="U19" s="61">
        <f>IFERROR(IF(INDEX('Medidas Manuais'!$D$4:$D$25,MATCH($A19,'Medidas Manuais'!$A$4:$A$25,0))="","",INDEX('Medidas Manuais'!$D$4:$D$25,MATCH($A19,'Medidas Manuais'!$A$4:$A$25,0))),"")</f>
        <v/>
      </c>
      <c r="V19" s="60">
        <f>IFERROR(IF(INDEX('Medidas Manuais'!$E$4:$E$25,MATCH($A19,'Medidas Manuais'!$A$4:$A$25,0))="","",INDEX('Medidas Manuais'!$E$4:$E$25,MATCH($A19,'Medidas Manuais'!$A$4:$A$25,0))),"")</f>
        <v/>
      </c>
    </row>
    <row r="20">
      <c r="A20" s="62" t="inlineStr">
        <is>
          <t>26/04/2026 - 02/05/2026</t>
        </is>
      </c>
      <c r="B20" s="55" t="n">
        <v>46138</v>
      </c>
      <c r="C20" s="55" t="n">
        <v>46144</v>
      </c>
      <c r="D20" s="56">
        <f>COUNTIFS('Medições Corporais'!$A$4:$A$147,"&gt;="&amp;$B20,'Medições Corporais'!$A$4:$A$147,"&lt;"&amp;$C20+1)</f>
        <v/>
      </c>
      <c r="E20" s="56">
        <f>SUMPRODUCT(('Medições Corporais'!$Q$4:$Q$147&gt;=$B20)*('Medições Corporais'!$Q$4:$Q$147&lt;=$C20)/COUNTIF('Medições Corporais'!$Q$4:$Q$147,'Medições Corporais'!$Q$4:$Q$147))</f>
        <v/>
      </c>
      <c r="F20" s="57">
        <f>IF($D20=0,"",IF(OR($B20&lt;DATE(2026,1,4),$C20&gt;MAX('Medições Corporais'!$Q$4:$Q$147)),"Sim","Não"))</f>
        <v/>
      </c>
      <c r="G20" s="58">
        <f>IF($D20=0,"",AVERAGEIFS('Medições Corporais'!$B$4:$B$147,'Medições Corporais'!$A$4:$A$147,"&gt;="&amp;$B20,'Medições Corporais'!$A$4:$A$147,"&lt;"&amp;$C20+1))</f>
        <v/>
      </c>
      <c r="H20" s="59">
        <f>IF(OR(G20="",G19=""),"",G20-G19)</f>
        <v/>
      </c>
      <c r="I20" s="60">
        <f>IF($D20=0,"",AVERAGEIFS('Medições Corporais'!$D$4:$D$147,'Medições Corporais'!$A$4:$A$147,"&gt;="&amp;$B20,'Medições Corporais'!$A$4:$A$147,"&lt;"&amp;$C20+1))</f>
        <v/>
      </c>
      <c r="J20" s="61">
        <f>IF(OR(I20="",I19=""),"",I20-I19)</f>
        <v/>
      </c>
      <c r="K20" s="58">
        <f>IF($D20=0,"",AVERAGEIFS('Medições Corporais'!$G$4:$G$147,'Medições Corporais'!$A$4:$A$147,"&gt;="&amp;$B20,'Medições Corporais'!$A$4:$A$147,"&lt;"&amp;$C20+1))</f>
        <v/>
      </c>
      <c r="L20" s="58">
        <f>IF($D20=0,"",AVERAGEIFS('Medições Corporais'!$I$4:$I$147,'Medições Corporais'!$A$4:$A$147,"&gt;="&amp;$B20,'Medições Corporais'!$A$4:$A$147,"&lt;"&amp;$C20+1))</f>
        <v/>
      </c>
      <c r="M20" s="58">
        <f>IF($D20=0,"",AVERAGEIFS('Medições Corporais'!$E$4:$E$147,'Medições Corporais'!$A$4:$A$147,"&gt;="&amp;$B20,'Medições Corporais'!$A$4:$A$147,"&lt;"&amp;$C20+1))</f>
        <v/>
      </c>
      <c r="N20" s="58">
        <f>IF($D20=0,"",AVERAGEIFS('Medições Corporais'!$H$4:$H$147,'Medições Corporais'!$A$4:$A$147,"&gt;="&amp;$B20,'Medições Corporais'!$A$4:$A$147,"&lt;"&amp;$C20+1))</f>
        <v/>
      </c>
      <c r="O20" s="58">
        <f>IF($D20=0,"",AVERAGEIFS('Medições Corporais'!$F$4:$F$147,'Medições Corporais'!$A$4:$A$147,"&gt;="&amp;$B20,'Medições Corporais'!$A$4:$A$147,"&lt;"&amp;$C20+1))</f>
        <v/>
      </c>
      <c r="P20" s="60">
        <f>IF($D20=0,"",AVERAGEIFS('Medições Corporais'!$C$4:$C$147,'Medições Corporais'!$A$4:$A$147,"&gt;="&amp;$B20,'Medições Corporais'!$A$4:$A$147,"&lt;"&amp;$C20+1))</f>
        <v/>
      </c>
      <c r="Q20" s="60">
        <f>IF($D20=0,"",AVERAGEIFS('Medições Corporais'!$J$4:$J$147,'Medições Corporais'!$A$4:$A$147,"&gt;="&amp;$B20,'Medições Corporais'!$A$4:$A$147,"&lt;"&amp;$C20+1))</f>
        <v/>
      </c>
      <c r="R20" s="60">
        <f>IF($D20=0,"",AVERAGEIFS('Medições Corporais'!$L$4:$L$147,'Medições Corporais'!$A$4:$A$147,"&gt;="&amp;$B20,'Medições Corporais'!$A$4:$A$147,"&lt;"&amp;$C20+1))</f>
        <v/>
      </c>
      <c r="S20" s="60">
        <f>IF($D20=0,"",AVERAGEIFS('Medições Corporais'!$M$4:$M$147,'Medições Corporais'!$A$4:$A$147,"&gt;="&amp;$B20,'Medições Corporais'!$A$4:$A$147,"&lt;"&amp;$C20+1))</f>
        <v/>
      </c>
      <c r="T20" s="60">
        <f>IFERROR(IF(INDEX('Medidas Manuais'!$C$4:$C$25,MATCH($A20,'Medidas Manuais'!$A$4:$A$25,0))="","",INDEX('Medidas Manuais'!$C$4:$C$25,MATCH($A20,'Medidas Manuais'!$A$4:$A$25,0))),"")</f>
        <v/>
      </c>
      <c r="U20" s="61">
        <f>IFERROR(IF(INDEX('Medidas Manuais'!$D$4:$D$25,MATCH($A20,'Medidas Manuais'!$A$4:$A$25,0))="","",INDEX('Medidas Manuais'!$D$4:$D$25,MATCH($A20,'Medidas Manuais'!$A$4:$A$25,0))),"")</f>
        <v/>
      </c>
      <c r="V20" s="60">
        <f>IFERROR(IF(INDEX('Medidas Manuais'!$E$4:$E$25,MATCH($A20,'Medidas Manuais'!$A$4:$A$25,0))="","",INDEX('Medidas Manuais'!$E$4:$E$25,MATCH($A20,'Medidas Manuais'!$A$4:$A$25,0))),"")</f>
        <v/>
      </c>
    </row>
    <row r="21">
      <c r="A21" s="62" t="inlineStr">
        <is>
          <t>03/05/2026 - 09/05/2026</t>
        </is>
      </c>
      <c r="B21" s="55" t="n">
        <v>46145</v>
      </c>
      <c r="C21" s="55" t="n">
        <v>46151</v>
      </c>
      <c r="D21" s="56">
        <f>COUNTIFS('Medições Corporais'!$A$4:$A$147,"&gt;="&amp;$B21,'Medições Corporais'!$A$4:$A$147,"&lt;"&amp;$C21+1)</f>
        <v/>
      </c>
      <c r="E21" s="56">
        <f>SUMPRODUCT(('Medições Corporais'!$Q$4:$Q$147&gt;=$B21)*('Medições Corporais'!$Q$4:$Q$147&lt;=$C21)/COUNTIF('Medições Corporais'!$Q$4:$Q$147,'Medições Corporais'!$Q$4:$Q$147))</f>
        <v/>
      </c>
      <c r="F21" s="57">
        <f>IF($D21=0,"",IF(OR($B21&lt;DATE(2026,1,4),$C21&gt;MAX('Medições Corporais'!$Q$4:$Q$147)),"Sim","Não"))</f>
        <v/>
      </c>
      <c r="G21" s="58">
        <f>IF($D21=0,"",AVERAGEIFS('Medições Corporais'!$B$4:$B$147,'Medições Corporais'!$A$4:$A$147,"&gt;="&amp;$B21,'Medições Corporais'!$A$4:$A$147,"&lt;"&amp;$C21+1))</f>
        <v/>
      </c>
      <c r="H21" s="59">
        <f>IF(OR(G21="",G20=""),"",G21-G20)</f>
        <v/>
      </c>
      <c r="I21" s="60">
        <f>IF($D21=0,"",AVERAGEIFS('Medições Corporais'!$D$4:$D$147,'Medições Corporais'!$A$4:$A$147,"&gt;="&amp;$B21,'Medições Corporais'!$A$4:$A$147,"&lt;"&amp;$C21+1))</f>
        <v/>
      </c>
      <c r="J21" s="61">
        <f>IF(OR(I21="",I20=""),"",I21-I20)</f>
        <v/>
      </c>
      <c r="K21" s="58">
        <f>IF($D21=0,"",AVERAGEIFS('Medições Corporais'!$G$4:$G$147,'Medições Corporais'!$A$4:$A$147,"&gt;="&amp;$B21,'Medições Corporais'!$A$4:$A$147,"&lt;"&amp;$C21+1))</f>
        <v/>
      </c>
      <c r="L21" s="58">
        <f>IF($D21=0,"",AVERAGEIFS('Medições Corporais'!$I$4:$I$147,'Medições Corporais'!$A$4:$A$147,"&gt;="&amp;$B21,'Medições Corporais'!$A$4:$A$147,"&lt;"&amp;$C21+1))</f>
        <v/>
      </c>
      <c r="M21" s="58">
        <f>IF($D21=0,"",AVERAGEIFS('Medições Corporais'!$E$4:$E$147,'Medições Corporais'!$A$4:$A$147,"&gt;="&amp;$B21,'Medições Corporais'!$A$4:$A$147,"&lt;"&amp;$C21+1))</f>
        <v/>
      </c>
      <c r="N21" s="58">
        <f>IF($D21=0,"",AVERAGEIFS('Medições Corporais'!$H$4:$H$147,'Medições Corporais'!$A$4:$A$147,"&gt;="&amp;$B21,'Medições Corporais'!$A$4:$A$147,"&lt;"&amp;$C21+1))</f>
        <v/>
      </c>
      <c r="O21" s="58">
        <f>IF($D21=0,"",AVERAGEIFS('Medições Corporais'!$F$4:$F$147,'Medições Corporais'!$A$4:$A$147,"&gt;="&amp;$B21,'Medições Corporais'!$A$4:$A$147,"&lt;"&amp;$C21+1))</f>
        <v/>
      </c>
      <c r="P21" s="60">
        <f>IF($D21=0,"",AVERAGEIFS('Medições Corporais'!$C$4:$C$147,'Medições Corporais'!$A$4:$A$147,"&gt;="&amp;$B21,'Medições Corporais'!$A$4:$A$147,"&lt;"&amp;$C21+1))</f>
        <v/>
      </c>
      <c r="Q21" s="60">
        <f>IF($D21=0,"",AVERAGEIFS('Medições Corporais'!$J$4:$J$147,'Medições Corporais'!$A$4:$A$147,"&gt;="&amp;$B21,'Medições Corporais'!$A$4:$A$147,"&lt;"&amp;$C21+1))</f>
        <v/>
      </c>
      <c r="R21" s="60">
        <f>IF($D21=0,"",AVERAGEIFS('Medições Corporais'!$L$4:$L$147,'Medições Corporais'!$A$4:$A$147,"&gt;="&amp;$B21,'Medições Corporais'!$A$4:$A$147,"&lt;"&amp;$C21+1))</f>
        <v/>
      </c>
      <c r="S21" s="60">
        <f>IF($D21=0,"",AVERAGEIFS('Medições Corporais'!$M$4:$M$147,'Medições Corporais'!$A$4:$A$147,"&gt;="&amp;$B21,'Medições Corporais'!$A$4:$A$147,"&lt;"&amp;$C21+1))</f>
        <v/>
      </c>
      <c r="T21" s="60">
        <f>IFERROR(IF(INDEX('Medidas Manuais'!$C$4:$C$25,MATCH($A21,'Medidas Manuais'!$A$4:$A$25,0))="","",INDEX('Medidas Manuais'!$C$4:$C$25,MATCH($A21,'Medidas Manuais'!$A$4:$A$25,0))),"")</f>
        <v/>
      </c>
      <c r="U21" s="61">
        <f>IFERROR(IF(INDEX('Medidas Manuais'!$D$4:$D$25,MATCH($A21,'Medidas Manuais'!$A$4:$A$25,0))="","",INDEX('Medidas Manuais'!$D$4:$D$25,MATCH($A21,'Medidas Manuais'!$A$4:$A$25,0))),"")</f>
        <v/>
      </c>
      <c r="V21" s="60">
        <f>IFERROR(IF(INDEX('Medidas Manuais'!$E$4:$E$25,MATCH($A21,'Medidas Manuais'!$A$4:$A$25,0))="","",INDEX('Medidas Manuais'!$E$4:$E$25,MATCH($A21,'Medidas Manuais'!$A$4:$A$25,0))),"")</f>
        <v/>
      </c>
    </row>
    <row r="22">
      <c r="A22" s="62" t="inlineStr">
        <is>
          <t>10/05/2026 - 16/05/2026</t>
        </is>
      </c>
      <c r="B22" s="55" t="n">
        <v>46152</v>
      </c>
      <c r="C22" s="55" t="n">
        <v>46158</v>
      </c>
      <c r="D22" s="56">
        <f>COUNTIFS('Medições Corporais'!$A$4:$A$147,"&gt;="&amp;$B22,'Medições Corporais'!$A$4:$A$147,"&lt;"&amp;$C22+1)</f>
        <v/>
      </c>
      <c r="E22" s="56">
        <f>SUMPRODUCT(('Medições Corporais'!$Q$4:$Q$147&gt;=$B22)*('Medições Corporais'!$Q$4:$Q$147&lt;=$C22)/COUNTIF('Medições Corporais'!$Q$4:$Q$147,'Medições Corporais'!$Q$4:$Q$147))</f>
        <v/>
      </c>
      <c r="F22" s="57">
        <f>IF($D22=0,"",IF(OR($B22&lt;DATE(2026,1,4),$C22&gt;MAX('Medições Corporais'!$Q$4:$Q$147)),"Sim","Não"))</f>
        <v/>
      </c>
      <c r="G22" s="58">
        <f>IF($D22=0,"",AVERAGEIFS('Medições Corporais'!$B$4:$B$147,'Medições Corporais'!$A$4:$A$147,"&gt;="&amp;$B22,'Medições Corporais'!$A$4:$A$147,"&lt;"&amp;$C22+1))</f>
        <v/>
      </c>
      <c r="H22" s="59">
        <f>IF(OR(G22="",G21=""),"",G22-G21)</f>
        <v/>
      </c>
      <c r="I22" s="60">
        <f>IF($D22=0,"",AVERAGEIFS('Medições Corporais'!$D$4:$D$147,'Medições Corporais'!$A$4:$A$147,"&gt;="&amp;$B22,'Medições Corporais'!$A$4:$A$147,"&lt;"&amp;$C22+1))</f>
        <v/>
      </c>
      <c r="J22" s="61">
        <f>IF(OR(I22="",I21=""),"",I22-I21)</f>
        <v/>
      </c>
      <c r="K22" s="58">
        <f>IF($D22=0,"",AVERAGEIFS('Medições Corporais'!$G$4:$G$147,'Medições Corporais'!$A$4:$A$147,"&gt;="&amp;$B22,'Medições Corporais'!$A$4:$A$147,"&lt;"&amp;$C22+1))</f>
        <v/>
      </c>
      <c r="L22" s="58">
        <f>IF($D22=0,"",AVERAGEIFS('Medições Corporais'!$I$4:$I$147,'Medições Corporais'!$A$4:$A$147,"&gt;="&amp;$B22,'Medições Corporais'!$A$4:$A$147,"&lt;"&amp;$C22+1))</f>
        <v/>
      </c>
      <c r="M22" s="58">
        <f>IF($D22=0,"",AVERAGEIFS('Medições Corporais'!$E$4:$E$147,'Medições Corporais'!$A$4:$A$147,"&gt;="&amp;$B22,'Medições Corporais'!$A$4:$A$147,"&lt;"&amp;$C22+1))</f>
        <v/>
      </c>
      <c r="N22" s="58">
        <f>IF($D22=0,"",AVERAGEIFS('Medições Corporais'!$H$4:$H$147,'Medições Corporais'!$A$4:$A$147,"&gt;="&amp;$B22,'Medições Corporais'!$A$4:$A$147,"&lt;"&amp;$C22+1))</f>
        <v/>
      </c>
      <c r="O22" s="58">
        <f>IF($D22=0,"",AVERAGEIFS('Medições Corporais'!$F$4:$F$147,'Medições Corporais'!$A$4:$A$147,"&gt;="&amp;$B22,'Medições Corporais'!$A$4:$A$147,"&lt;"&amp;$C22+1))</f>
        <v/>
      </c>
      <c r="P22" s="60">
        <f>IF($D22=0,"",AVERAGEIFS('Medições Corporais'!$C$4:$C$147,'Medições Corporais'!$A$4:$A$147,"&gt;="&amp;$B22,'Medições Corporais'!$A$4:$A$147,"&lt;"&amp;$C22+1))</f>
        <v/>
      </c>
      <c r="Q22" s="60">
        <f>IF($D22=0,"",AVERAGEIFS('Medições Corporais'!$J$4:$J$147,'Medições Corporais'!$A$4:$A$147,"&gt;="&amp;$B22,'Medições Corporais'!$A$4:$A$147,"&lt;"&amp;$C22+1))</f>
        <v/>
      </c>
      <c r="R22" s="60">
        <f>IF($D22=0,"",AVERAGEIFS('Medições Corporais'!$L$4:$L$147,'Medições Corporais'!$A$4:$A$147,"&gt;="&amp;$B22,'Medições Corporais'!$A$4:$A$147,"&lt;"&amp;$C22+1))</f>
        <v/>
      </c>
      <c r="S22" s="60">
        <f>IF($D22=0,"",AVERAGEIFS('Medições Corporais'!$M$4:$M$147,'Medições Corporais'!$A$4:$A$147,"&gt;="&amp;$B22,'Medições Corporais'!$A$4:$A$147,"&lt;"&amp;$C22+1))</f>
        <v/>
      </c>
      <c r="T22" s="60">
        <f>IFERROR(IF(INDEX('Medidas Manuais'!$C$4:$C$25,MATCH($A22,'Medidas Manuais'!$A$4:$A$25,0))="","",INDEX('Medidas Manuais'!$C$4:$C$25,MATCH($A22,'Medidas Manuais'!$A$4:$A$25,0))),"")</f>
        <v/>
      </c>
      <c r="U22" s="61">
        <f>IFERROR(IF(INDEX('Medidas Manuais'!$D$4:$D$25,MATCH($A22,'Medidas Manuais'!$A$4:$A$25,0))="","",INDEX('Medidas Manuais'!$D$4:$D$25,MATCH($A22,'Medidas Manuais'!$A$4:$A$25,0))),"")</f>
        <v/>
      </c>
      <c r="V22" s="60">
        <f>IFERROR(IF(INDEX('Medidas Manuais'!$E$4:$E$25,MATCH($A22,'Medidas Manuais'!$A$4:$A$25,0))="","",INDEX('Medidas Manuais'!$E$4:$E$25,MATCH($A22,'Medidas Manuais'!$A$4:$A$25,0))),"")</f>
        <v/>
      </c>
    </row>
    <row r="23">
      <c r="A23" s="62" t="inlineStr">
        <is>
          <t>17/05/2026 - 23/05/2026</t>
        </is>
      </c>
      <c r="B23" s="55" t="n">
        <v>46159</v>
      </c>
      <c r="C23" s="55" t="n">
        <v>46165</v>
      </c>
      <c r="D23" s="56">
        <f>COUNTIFS('Medições Corporais'!$A$4:$A$147,"&gt;="&amp;$B23,'Medições Corporais'!$A$4:$A$147,"&lt;"&amp;$C23+1)</f>
        <v/>
      </c>
      <c r="E23" s="56">
        <f>SUMPRODUCT(('Medições Corporais'!$Q$4:$Q$147&gt;=$B23)*('Medições Corporais'!$Q$4:$Q$147&lt;=$C23)/COUNTIF('Medições Corporais'!$Q$4:$Q$147,'Medições Corporais'!$Q$4:$Q$147))</f>
        <v/>
      </c>
      <c r="F23" s="57">
        <f>IF($D23=0,"",IF(OR($B23&lt;DATE(2026,1,4),$C23&gt;MAX('Medições Corporais'!$Q$4:$Q$147)),"Sim","Não"))</f>
        <v/>
      </c>
      <c r="G23" s="58">
        <f>IF($D23=0,"",AVERAGEIFS('Medições Corporais'!$B$4:$B$147,'Medições Corporais'!$A$4:$A$147,"&gt;="&amp;$B23,'Medições Corporais'!$A$4:$A$147,"&lt;"&amp;$C23+1))</f>
        <v/>
      </c>
      <c r="H23" s="59">
        <f>IF(OR(G23="",G22=""),"",G23-G22)</f>
        <v/>
      </c>
      <c r="I23" s="60">
        <f>IF($D23=0,"",AVERAGEIFS('Medições Corporais'!$D$4:$D$147,'Medições Corporais'!$A$4:$A$147,"&gt;="&amp;$B23,'Medições Corporais'!$A$4:$A$147,"&lt;"&amp;$C23+1))</f>
        <v/>
      </c>
      <c r="J23" s="61">
        <f>IF(OR(I23="",I22=""),"",I23-I22)</f>
        <v/>
      </c>
      <c r="K23" s="58">
        <f>IF($D23=0,"",AVERAGEIFS('Medições Corporais'!$G$4:$G$147,'Medições Corporais'!$A$4:$A$147,"&gt;="&amp;$B23,'Medições Corporais'!$A$4:$A$147,"&lt;"&amp;$C23+1))</f>
        <v/>
      </c>
      <c r="L23" s="58">
        <f>IF($D23=0,"",AVERAGEIFS('Medições Corporais'!$I$4:$I$147,'Medições Corporais'!$A$4:$A$147,"&gt;="&amp;$B23,'Medições Corporais'!$A$4:$A$147,"&lt;"&amp;$C23+1))</f>
        <v/>
      </c>
      <c r="M23" s="58">
        <f>IF($D23=0,"",AVERAGEIFS('Medições Corporais'!$E$4:$E$147,'Medições Corporais'!$A$4:$A$147,"&gt;="&amp;$B23,'Medições Corporais'!$A$4:$A$147,"&lt;"&amp;$C23+1))</f>
        <v/>
      </c>
      <c r="N23" s="58">
        <f>IF($D23=0,"",AVERAGEIFS('Medições Corporais'!$H$4:$H$147,'Medições Corporais'!$A$4:$A$147,"&gt;="&amp;$B23,'Medições Corporais'!$A$4:$A$147,"&lt;"&amp;$C23+1))</f>
        <v/>
      </c>
      <c r="O23" s="58">
        <f>IF($D23=0,"",AVERAGEIFS('Medições Corporais'!$F$4:$F$147,'Medições Corporais'!$A$4:$A$147,"&gt;="&amp;$B23,'Medições Corporais'!$A$4:$A$147,"&lt;"&amp;$C23+1))</f>
        <v/>
      </c>
      <c r="P23" s="60">
        <f>IF($D23=0,"",AVERAGEIFS('Medições Corporais'!$C$4:$C$147,'Medições Corporais'!$A$4:$A$147,"&gt;="&amp;$B23,'Medições Corporais'!$A$4:$A$147,"&lt;"&amp;$C23+1))</f>
        <v/>
      </c>
      <c r="Q23" s="60">
        <f>IF($D23=0,"",AVERAGEIFS('Medições Corporais'!$J$4:$J$147,'Medições Corporais'!$A$4:$A$147,"&gt;="&amp;$B23,'Medições Corporais'!$A$4:$A$147,"&lt;"&amp;$C23+1))</f>
        <v/>
      </c>
      <c r="R23" s="60">
        <f>IF($D23=0,"",AVERAGEIFS('Medições Corporais'!$L$4:$L$147,'Medições Corporais'!$A$4:$A$147,"&gt;="&amp;$B23,'Medições Corporais'!$A$4:$A$147,"&lt;"&amp;$C23+1))</f>
        <v/>
      </c>
      <c r="S23" s="60">
        <f>IF($D23=0,"",AVERAGEIFS('Medições Corporais'!$M$4:$M$147,'Medições Corporais'!$A$4:$A$147,"&gt;="&amp;$B23,'Medições Corporais'!$A$4:$A$147,"&lt;"&amp;$C23+1))</f>
        <v/>
      </c>
      <c r="T23" s="60">
        <f>IFERROR(IF(INDEX('Medidas Manuais'!$C$4:$C$25,MATCH($A23,'Medidas Manuais'!$A$4:$A$25,0))="","",INDEX('Medidas Manuais'!$C$4:$C$25,MATCH($A23,'Medidas Manuais'!$A$4:$A$25,0))),"")</f>
        <v/>
      </c>
      <c r="U23" s="61">
        <f>IFERROR(IF(INDEX('Medidas Manuais'!$D$4:$D$25,MATCH($A23,'Medidas Manuais'!$A$4:$A$25,0))="","",INDEX('Medidas Manuais'!$D$4:$D$25,MATCH($A23,'Medidas Manuais'!$A$4:$A$25,0))),"")</f>
        <v/>
      </c>
      <c r="V23" s="60">
        <f>IFERROR(IF(INDEX('Medidas Manuais'!$E$4:$E$25,MATCH($A23,'Medidas Manuais'!$A$4:$A$25,0))="","",INDEX('Medidas Manuais'!$E$4:$E$25,MATCH($A23,'Medidas Manuais'!$A$4:$A$25,0))),"")</f>
        <v/>
      </c>
    </row>
    <row r="24">
      <c r="A24" s="62" t="inlineStr">
        <is>
          <t>24/05/2026 - 30/05/2026</t>
        </is>
      </c>
      <c r="B24" s="55" t="n">
        <v>46166</v>
      </c>
      <c r="C24" s="55" t="n">
        <v>46172</v>
      </c>
      <c r="D24" s="56">
        <f>COUNTIFS('Medições Corporais'!$A$4:$A$147,"&gt;="&amp;$B24,'Medições Corporais'!$A$4:$A$147,"&lt;"&amp;$C24+1)</f>
        <v/>
      </c>
      <c r="E24" s="56">
        <f>SUMPRODUCT(('Medições Corporais'!$Q$4:$Q$147&gt;=$B24)*('Medições Corporais'!$Q$4:$Q$147&lt;=$C24)/COUNTIF('Medições Corporais'!$Q$4:$Q$147,'Medições Corporais'!$Q$4:$Q$147))</f>
        <v/>
      </c>
      <c r="F24" s="57">
        <f>IF($D24=0,"",IF(OR($B24&lt;DATE(2026,1,4),$C24&gt;MAX('Medições Corporais'!$Q$4:$Q$147)),"Sim","Não"))</f>
        <v/>
      </c>
      <c r="G24" s="58">
        <f>IF($D24=0,"",AVERAGEIFS('Medições Corporais'!$B$4:$B$147,'Medições Corporais'!$A$4:$A$147,"&gt;="&amp;$B24,'Medições Corporais'!$A$4:$A$147,"&lt;"&amp;$C24+1))</f>
        <v/>
      </c>
      <c r="H24" s="59">
        <f>IF(OR(G24="",G23=""),"",G24-G23)</f>
        <v/>
      </c>
      <c r="I24" s="60">
        <f>IF($D24=0,"",AVERAGEIFS('Medições Corporais'!$D$4:$D$147,'Medições Corporais'!$A$4:$A$147,"&gt;="&amp;$B24,'Medições Corporais'!$A$4:$A$147,"&lt;"&amp;$C24+1))</f>
        <v/>
      </c>
      <c r="J24" s="61">
        <f>IF(OR(I24="",I23=""),"",I24-I23)</f>
        <v/>
      </c>
      <c r="K24" s="58">
        <f>IF($D24=0,"",AVERAGEIFS('Medições Corporais'!$G$4:$G$147,'Medições Corporais'!$A$4:$A$147,"&gt;="&amp;$B24,'Medições Corporais'!$A$4:$A$147,"&lt;"&amp;$C24+1))</f>
        <v/>
      </c>
      <c r="L24" s="58">
        <f>IF($D24=0,"",AVERAGEIFS('Medições Corporais'!$I$4:$I$147,'Medições Corporais'!$A$4:$A$147,"&gt;="&amp;$B24,'Medições Corporais'!$A$4:$A$147,"&lt;"&amp;$C24+1))</f>
        <v/>
      </c>
      <c r="M24" s="58">
        <f>IF($D24=0,"",AVERAGEIFS('Medições Corporais'!$E$4:$E$147,'Medições Corporais'!$A$4:$A$147,"&gt;="&amp;$B24,'Medições Corporais'!$A$4:$A$147,"&lt;"&amp;$C24+1))</f>
        <v/>
      </c>
      <c r="N24" s="58">
        <f>IF($D24=0,"",AVERAGEIFS('Medições Corporais'!$H$4:$H$147,'Medições Corporais'!$A$4:$A$147,"&gt;="&amp;$B24,'Medições Corporais'!$A$4:$A$147,"&lt;"&amp;$C24+1))</f>
        <v/>
      </c>
      <c r="O24" s="58">
        <f>IF($D24=0,"",AVERAGEIFS('Medições Corporais'!$F$4:$F$147,'Medições Corporais'!$A$4:$A$147,"&gt;="&amp;$B24,'Medições Corporais'!$A$4:$A$147,"&lt;"&amp;$C24+1))</f>
        <v/>
      </c>
      <c r="P24" s="60">
        <f>IF($D24=0,"",AVERAGEIFS('Medições Corporais'!$C$4:$C$147,'Medições Corporais'!$A$4:$A$147,"&gt;="&amp;$B24,'Medições Corporais'!$A$4:$A$147,"&lt;"&amp;$C24+1))</f>
        <v/>
      </c>
      <c r="Q24" s="60">
        <f>IF($D24=0,"",AVERAGEIFS('Medições Corporais'!$J$4:$J$147,'Medições Corporais'!$A$4:$A$147,"&gt;="&amp;$B24,'Medições Corporais'!$A$4:$A$147,"&lt;"&amp;$C24+1))</f>
        <v/>
      </c>
      <c r="R24" s="60">
        <f>IF($D24=0,"",AVERAGEIFS('Medições Corporais'!$L$4:$L$147,'Medições Corporais'!$A$4:$A$147,"&gt;="&amp;$B24,'Medições Corporais'!$A$4:$A$147,"&lt;"&amp;$C24+1))</f>
        <v/>
      </c>
      <c r="S24" s="60">
        <f>IF($D24=0,"",AVERAGEIFS('Medições Corporais'!$M$4:$M$147,'Medições Corporais'!$A$4:$A$147,"&gt;="&amp;$B24,'Medições Corporais'!$A$4:$A$147,"&lt;"&amp;$C24+1))</f>
        <v/>
      </c>
      <c r="T24" s="60">
        <f>IFERROR(IF(INDEX('Medidas Manuais'!$C$4:$C$25,MATCH($A24,'Medidas Manuais'!$A$4:$A$25,0))="","",INDEX('Medidas Manuais'!$C$4:$C$25,MATCH($A24,'Medidas Manuais'!$A$4:$A$25,0))),"")</f>
        <v/>
      </c>
      <c r="U24" s="61">
        <f>IFERROR(IF(INDEX('Medidas Manuais'!$D$4:$D$25,MATCH($A24,'Medidas Manuais'!$A$4:$A$25,0))="","",INDEX('Medidas Manuais'!$D$4:$D$25,MATCH($A24,'Medidas Manuais'!$A$4:$A$25,0))),"")</f>
        <v/>
      </c>
      <c r="V24" s="60">
        <f>IFERROR(IF(INDEX('Medidas Manuais'!$E$4:$E$25,MATCH($A24,'Medidas Manuais'!$A$4:$A$25,0))="","",INDEX('Medidas Manuais'!$E$4:$E$25,MATCH($A24,'Medidas Manuais'!$A$4:$A$25,0))),"")</f>
        <v/>
      </c>
    </row>
    <row r="25">
      <c r="A25" s="62" t="inlineStr">
        <is>
          <t>31/05/2026 - 06/06/2026</t>
        </is>
      </c>
      <c r="B25" s="55" t="n">
        <v>46173</v>
      </c>
      <c r="C25" s="55" t="n">
        <v>46179</v>
      </c>
      <c r="D25" s="56">
        <f>COUNTIFS('Medições Corporais'!$A$4:$A$147,"&gt;="&amp;$B25,'Medições Corporais'!$A$4:$A$147,"&lt;"&amp;$C25+1)</f>
        <v/>
      </c>
      <c r="E25" s="56">
        <f>SUMPRODUCT(('Medições Corporais'!$Q$4:$Q$147&gt;=$B25)*('Medições Corporais'!$Q$4:$Q$147&lt;=$C25)/COUNTIF('Medições Corporais'!$Q$4:$Q$147,'Medições Corporais'!$Q$4:$Q$147))</f>
        <v/>
      </c>
      <c r="F25" s="57">
        <f>IF($D25=0,"",IF(OR($B25&lt;DATE(2026,1,4),$C25&gt;MAX('Medições Corporais'!$Q$4:$Q$147)),"Sim","Não"))</f>
        <v/>
      </c>
      <c r="G25" s="58">
        <f>IF($D25=0,"",AVERAGEIFS('Medições Corporais'!$B$4:$B$147,'Medições Corporais'!$A$4:$A$147,"&gt;="&amp;$B25,'Medições Corporais'!$A$4:$A$147,"&lt;"&amp;$C25+1))</f>
        <v/>
      </c>
      <c r="H25" s="59">
        <f>IF(OR(G25="",G24=""),"",G25-G24)</f>
        <v/>
      </c>
      <c r="I25" s="60">
        <f>IF($D25=0,"",AVERAGEIFS('Medições Corporais'!$D$4:$D$147,'Medições Corporais'!$A$4:$A$147,"&gt;="&amp;$B25,'Medições Corporais'!$A$4:$A$147,"&lt;"&amp;$C25+1))</f>
        <v/>
      </c>
      <c r="J25" s="61">
        <f>IF(OR(I25="",I24=""),"",I25-I24)</f>
        <v/>
      </c>
      <c r="K25" s="58">
        <f>IF($D25=0,"",AVERAGEIFS('Medições Corporais'!$G$4:$G$147,'Medições Corporais'!$A$4:$A$147,"&gt;="&amp;$B25,'Medições Corporais'!$A$4:$A$147,"&lt;"&amp;$C25+1))</f>
        <v/>
      </c>
      <c r="L25" s="58">
        <f>IF($D25=0,"",AVERAGEIFS('Medições Corporais'!$I$4:$I$147,'Medições Corporais'!$A$4:$A$147,"&gt;="&amp;$B25,'Medições Corporais'!$A$4:$A$147,"&lt;"&amp;$C25+1))</f>
        <v/>
      </c>
      <c r="M25" s="58">
        <f>IF($D25=0,"",AVERAGEIFS('Medições Corporais'!$E$4:$E$147,'Medições Corporais'!$A$4:$A$147,"&gt;="&amp;$B25,'Medições Corporais'!$A$4:$A$147,"&lt;"&amp;$C25+1))</f>
        <v/>
      </c>
      <c r="N25" s="58">
        <f>IF($D25=0,"",AVERAGEIFS('Medições Corporais'!$H$4:$H$147,'Medições Corporais'!$A$4:$A$147,"&gt;="&amp;$B25,'Medições Corporais'!$A$4:$A$147,"&lt;"&amp;$C25+1))</f>
        <v/>
      </c>
      <c r="O25" s="58">
        <f>IF($D25=0,"",AVERAGEIFS('Medições Corporais'!$F$4:$F$147,'Medições Corporais'!$A$4:$A$147,"&gt;="&amp;$B25,'Medições Corporais'!$A$4:$A$147,"&lt;"&amp;$C25+1))</f>
        <v/>
      </c>
      <c r="P25" s="60">
        <f>IF($D25=0,"",AVERAGEIFS('Medições Corporais'!$C$4:$C$147,'Medições Corporais'!$A$4:$A$147,"&gt;="&amp;$B25,'Medições Corporais'!$A$4:$A$147,"&lt;"&amp;$C25+1))</f>
        <v/>
      </c>
      <c r="Q25" s="60">
        <f>IF($D25=0,"",AVERAGEIFS('Medições Corporais'!$J$4:$J$147,'Medições Corporais'!$A$4:$A$147,"&gt;="&amp;$B25,'Medições Corporais'!$A$4:$A$147,"&lt;"&amp;$C25+1))</f>
        <v/>
      </c>
      <c r="R25" s="60">
        <f>IF($D25=0,"",AVERAGEIFS('Medições Corporais'!$L$4:$L$147,'Medições Corporais'!$A$4:$A$147,"&gt;="&amp;$B25,'Medições Corporais'!$A$4:$A$147,"&lt;"&amp;$C25+1))</f>
        <v/>
      </c>
      <c r="S25" s="60">
        <f>IF($D25=0,"",AVERAGEIFS('Medições Corporais'!$M$4:$M$147,'Medições Corporais'!$A$4:$A$147,"&gt;="&amp;$B25,'Medições Corporais'!$A$4:$A$147,"&lt;"&amp;$C25+1))</f>
        <v/>
      </c>
      <c r="T25" s="60">
        <f>IFERROR(IF(INDEX('Medidas Manuais'!$C$4:$C$25,MATCH($A25,'Medidas Manuais'!$A$4:$A$25,0))="","",INDEX('Medidas Manuais'!$C$4:$C$25,MATCH($A25,'Medidas Manuais'!$A$4:$A$25,0))),"")</f>
        <v/>
      </c>
      <c r="U25" s="61">
        <f>IFERROR(IF(INDEX('Medidas Manuais'!$D$4:$D$25,MATCH($A25,'Medidas Manuais'!$A$4:$A$25,0))="","",INDEX('Medidas Manuais'!$D$4:$D$25,MATCH($A25,'Medidas Manuais'!$A$4:$A$25,0))),"")</f>
        <v/>
      </c>
      <c r="V25" s="60">
        <f>IFERROR(IF(INDEX('Medidas Manuais'!$E$4:$E$25,MATCH($A25,'Medidas Manuais'!$A$4:$A$25,0))="","",INDEX('Medidas Manuais'!$E$4:$E$25,MATCH($A25,'Medidas Manuais'!$A$4:$A$25,0))),"")</f>
        <v/>
      </c>
    </row>
    <row r="27" ht="30" customHeight="1">
      <c r="B27" s="48" t="inlineStr">
        <is>
          <t>Médias aritméticas das leituras aceites do período (não médias diárias). Variação = média do período menos a do período anterior; gordura em pontos percentuais. 'Período parcial' = começa antes do início da transformação ou termina depois da última leitura. Cintura: diferença face à medição anterior disponível.</t>
        </is>
      </c>
    </row>
  </sheetData>
  <mergeCells count="3">
    <mergeCell ref="B27:O27"/>
    <mergeCell ref="B1:V1"/>
    <mergeCell ref="B2:V2"/>
  </mergeCells>
  <conditionalFormatting sqref="A4:V25">
    <cfRule type="expression" priority="1" dxfId="0">
      <formula>$D4=0</formula>
    </cfRule>
  </conditionalFormatting>
  <conditionalFormatting sqref="F4:F25">
    <cfRule type="expression" priority="2" dxfId="1">
      <formula>$F4="Sim"</formula>
    </cfRule>
  </conditionalFormatting>
  <pageMargins left="0.75" right="0.75" top="1" bottom="1" header="0.5" footer="0.5"/>
  <ignoredErrors>
    <ignoredError sqref="A1:Z3000" formula="1" formulaRange="1" numberStoredAsText="1"/>
  </ignoredErrors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2C744"/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6" customWidth="1" min="4" max="4"/>
    <col width="13" customWidth="1" min="5" max="5"/>
    <col width="15" customWidth="1" min="6" max="6"/>
    <col width="62" customWidth="1" min="7" max="7"/>
  </cols>
  <sheetData>
    <row r="1" ht="32" customHeight="1">
      <c r="A1" s="1" t="inlineStr">
        <is>
          <t>Medidas manuais semanais</t>
        </is>
      </c>
    </row>
    <row r="2" ht="20" customHeight="1">
      <c r="A2" s="49" t="inlineStr">
        <is>
          <t>Preencha as células amarelas (cintura ao nível do umbigo, pescoço). A data tem de pertencer à semana. Guarde e feche o Excel antes de atualizar.</t>
        </is>
      </c>
    </row>
    <row r="3" ht="58" customHeight="1">
      <c r="A3" s="50" t="inlineStr">
        <is>
          <t>Semana</t>
        </is>
      </c>
      <c r="B3" s="50" t="inlineStr">
        <is>
          <t>Data da medição</t>
        </is>
      </c>
      <c r="C3" s="50" t="inlineStr">
        <is>
          <t>Cintura (cm)</t>
        </is>
      </c>
      <c r="D3" s="50" t="inlineStr">
        <is>
          <t>Variação da cintura (cm)</t>
        </is>
      </c>
      <c r="E3" s="50" t="inlineStr">
        <is>
          <t>Pescoço (cm)</t>
        </is>
      </c>
      <c r="F3" s="50" t="inlineStr">
        <is>
          <t>Estado</t>
        </is>
      </c>
      <c r="G3" s="50" t="inlineStr">
        <is>
          <t>Observações</t>
        </is>
      </c>
    </row>
    <row r="4" ht="30" customHeight="1">
      <c r="A4" s="63" t="inlineStr">
        <is>
          <t>04/01/2026 - 10/01/2026</t>
        </is>
      </c>
      <c r="B4" s="64" t="n">
        <v>46026</v>
      </c>
      <c r="C4" s="65" t="n">
        <v>96</v>
      </c>
      <c r="D4" s="61">
        <f>IF(OR(C4="",COUNTIFS(B$4:B$25,"&lt;"&amp;B4,C$4:C$25,"&gt;0")=0),"",C4-SUMIFS(C$4:C$25,B$4:B$25,_xlfn.MAXIFS(B$4:B$25,B$4:B$25,"&lt;"&amp;B4,C$4:C$25,"&gt;0")))</f>
        <v/>
      </c>
      <c r="E4" s="65" t="n">
        <v>40</v>
      </c>
      <c r="F4" s="63">
        <f>IF(AND(C4="",E4=""),IF(G4&lt;&gt;"","Sem medição","Por preencher"),IF(AND(C4&lt;&gt;"",E4&lt;&gt;""),"Completa","Incompleta"))</f>
        <v/>
      </c>
      <c r="G4" s="66" t="inlineStr">
        <is>
          <t>Leituras — cintura: 95,9 - 96 - 96; pescoço: 40 - 40 - 39,9</t>
        </is>
      </c>
    </row>
    <row r="5" ht="30" customHeight="1">
      <c r="A5" s="63" t="inlineStr">
        <is>
          <t>11/01/2026 - 17/01/2026</t>
        </is>
      </c>
      <c r="B5" s="64" t="n">
        <v>46033</v>
      </c>
      <c r="C5" s="65" t="n">
        <v>95.40000000000001</v>
      </c>
      <c r="D5" s="61">
        <f>IF(OR(C5="",COUNTIFS(B$4:B$25,"&lt;"&amp;B5,C$4:C$25,"&gt;0")=0),"",C5-SUMIFS(C$4:C$25,B$4:B$25,_xlfn.MAXIFS(B$4:B$25,B$4:B$25,"&lt;"&amp;B5,C$4:C$25,"&gt;0")))</f>
        <v/>
      </c>
      <c r="E5" s="65" t="n">
        <v>39.9</v>
      </c>
      <c r="F5" s="63">
        <f>IF(AND(C5="",E5=""),IF(G5&lt;&gt;"","Sem medição","Por preencher"),IF(AND(C5&lt;&gt;"",E5&lt;&gt;""),"Completa","Incompleta"))</f>
        <v/>
      </c>
      <c r="G5" s="66" t="inlineStr">
        <is>
          <t>Leituras — cintura: 95,3 - 95,5 - 95,3; pescoço: 39,9 - 40 - 39,9</t>
        </is>
      </c>
    </row>
    <row r="6" ht="30" customHeight="1">
      <c r="A6" s="63" t="inlineStr">
        <is>
          <t>18/01/2026 - 24/01/2026</t>
        </is>
      </c>
      <c r="B6" s="64" t="n">
        <v>46040</v>
      </c>
      <c r="C6" s="65" t="n">
        <v>94.8</v>
      </c>
      <c r="D6" s="61">
        <f>IF(OR(C6="",COUNTIFS(B$4:B$25,"&lt;"&amp;B6,C$4:C$25,"&gt;0")=0),"",C6-SUMIFS(C$4:C$25,B$4:B$25,_xlfn.MAXIFS(B$4:B$25,B$4:B$25,"&lt;"&amp;B6,C$4:C$25,"&gt;0")))</f>
        <v/>
      </c>
      <c r="E6" s="65" t="n">
        <v>39.9</v>
      </c>
      <c r="F6" s="63">
        <f>IF(AND(C6="",E6=""),IF(G6&lt;&gt;"","Sem medição","Por preencher"),IF(AND(C6&lt;&gt;"",E6&lt;&gt;""),"Completa","Incompleta"))</f>
        <v/>
      </c>
      <c r="G6" s="66" t="inlineStr">
        <is>
          <t>Leituras — cintura: 94,9 - 94,8 - 94,8; pescoço: 39,8 - 39,9 - 39,9</t>
        </is>
      </c>
    </row>
    <row r="7" ht="30" customHeight="1">
      <c r="A7" s="63" t="inlineStr">
        <is>
          <t>25/01/2026 - 31/01/2026</t>
        </is>
      </c>
      <c r="B7" s="64" t="n">
        <v>46047</v>
      </c>
      <c r="C7" s="65" t="n">
        <v>94.3</v>
      </c>
      <c r="D7" s="61">
        <f>IF(OR(C7="",COUNTIFS(B$4:B$25,"&lt;"&amp;B7,C$4:C$25,"&gt;0")=0),"",C7-SUMIFS(C$4:C$25,B$4:B$25,_xlfn.MAXIFS(B$4:B$25,B$4:B$25,"&lt;"&amp;B7,C$4:C$25,"&gt;0")))</f>
        <v/>
      </c>
      <c r="E7" s="65" t="n">
        <v>39.8</v>
      </c>
      <c r="F7" s="63">
        <f>IF(AND(C7="",E7=""),IF(G7&lt;&gt;"","Sem medição","Por preencher"),IF(AND(C7&lt;&gt;"",E7&lt;&gt;""),"Completa","Incompleta"))</f>
        <v/>
      </c>
      <c r="G7" s="66" t="inlineStr">
        <is>
          <t>Leituras — cintura: 94,2 - 94,3 - 94,3; pescoço: 39,7 - 39,8 - 39,8</t>
        </is>
      </c>
    </row>
    <row r="8" ht="30" customHeight="1">
      <c r="A8" s="63" t="inlineStr">
        <is>
          <t>01/02/2026 - 07/02/2026</t>
        </is>
      </c>
      <c r="B8" s="64" t="n">
        <v>46054</v>
      </c>
      <c r="C8" s="65" t="n"/>
      <c r="D8" s="61">
        <f>IF(OR(C8="",COUNTIFS(B$4:B$25,"&lt;"&amp;B8,C$4:C$25,"&gt;0")=0),"",C8-SUMIFS(C$4:C$25,B$4:B$25,_xlfn.MAXIFS(B$4:B$25,B$4:B$25,"&lt;"&amp;B8,C$4:C$25,"&gt;0")))</f>
        <v/>
      </c>
      <c r="E8" s="65" t="n"/>
      <c r="F8" s="63">
        <f>IF(AND(C8="",E8=""),IF(G8&lt;&gt;"","Sem medição","Por preencher"),IF(AND(C8&lt;&gt;"",E8&lt;&gt;""),"Completa","Incompleta"))</f>
        <v/>
      </c>
      <c r="G8" s="66" t="inlineStr">
        <is>
          <t>Sem medição: esqueci-me</t>
        </is>
      </c>
    </row>
    <row r="9" ht="30" customHeight="1">
      <c r="A9" s="63" t="inlineStr">
        <is>
          <t>08/02/2026 - 14/02/2026</t>
        </is>
      </c>
      <c r="B9" s="64" t="n">
        <v>46061</v>
      </c>
      <c r="C9" s="65" t="n">
        <v>93</v>
      </c>
      <c r="D9" s="61">
        <f>IF(OR(C9="",COUNTIFS(B$4:B$25,"&lt;"&amp;B9,C$4:C$25,"&gt;0")=0),"",C9-SUMIFS(C$4:C$25,B$4:B$25,_xlfn.MAXIFS(B$4:B$25,B$4:B$25,"&lt;"&amp;B9,C$4:C$25,"&gt;0")))</f>
        <v/>
      </c>
      <c r="E9" s="65" t="n">
        <v>39.6</v>
      </c>
      <c r="F9" s="63">
        <f>IF(AND(C9="",E9=""),IF(G9&lt;&gt;"","Sem medição","Por preencher"),IF(AND(C9&lt;&gt;"",E9&lt;&gt;""),"Completa","Incompleta"))</f>
        <v/>
      </c>
      <c r="G9" s="66" t="inlineStr">
        <is>
          <t>Leituras — cintura: 92,9 - 92,9 - 93,1; pescoço: 39,6 - 39,6 - 39,7</t>
        </is>
      </c>
    </row>
    <row r="10" ht="30" customHeight="1">
      <c r="A10" s="63" t="inlineStr">
        <is>
          <t>15/02/2026 - 21/02/2026</t>
        </is>
      </c>
      <c r="B10" s="64" t="n">
        <v>46068</v>
      </c>
      <c r="C10" s="65" t="n"/>
      <c r="D10" s="61">
        <f>IF(OR(C10="",COUNTIFS(B$4:B$25,"&lt;"&amp;B10,C$4:C$25,"&gt;0")=0),"",C10-SUMIFS(C$4:C$25,B$4:B$25,_xlfn.MAXIFS(B$4:B$25,B$4:B$25,"&lt;"&amp;B10,C$4:C$25,"&gt;0")))</f>
        <v/>
      </c>
      <c r="E10" s="65" t="n"/>
      <c r="F10" s="63">
        <f>IF(AND(C10="",E10=""),IF(G10&lt;&gt;"","Sem medição","Por preencher"),IF(AND(C10&lt;&gt;"",E10&lt;&gt;""),"Completa","Incompleta"))</f>
        <v/>
      </c>
      <c r="G10" s="66" t="n"/>
    </row>
    <row r="11" ht="30" customHeight="1">
      <c r="A11" s="63" t="inlineStr">
        <is>
          <t>22/02/2026 - 28/02/2026</t>
        </is>
      </c>
      <c r="B11" s="64" t="n">
        <v>46075</v>
      </c>
      <c r="C11" s="65" t="n"/>
      <c r="D11" s="61">
        <f>IF(OR(C11="",COUNTIFS(B$4:B$25,"&lt;"&amp;B11,C$4:C$25,"&gt;0")=0),"",C11-SUMIFS(C$4:C$25,B$4:B$25,_xlfn.MAXIFS(B$4:B$25,B$4:B$25,"&lt;"&amp;B11,C$4:C$25,"&gt;0")))</f>
        <v/>
      </c>
      <c r="E11" s="65" t="n"/>
      <c r="F11" s="63">
        <f>IF(AND(C11="",E11=""),IF(G11&lt;&gt;"","Sem medição","Por preencher"),IF(AND(C11&lt;&gt;"",E11&lt;&gt;""),"Completa","Incompleta"))</f>
        <v/>
      </c>
      <c r="G11" s="66" t="n"/>
    </row>
    <row r="12" ht="30" customHeight="1">
      <c r="A12" s="63" t="inlineStr">
        <is>
          <t>01/03/2026 - 07/03/2026</t>
        </is>
      </c>
      <c r="B12" s="64" t="n">
        <v>46082</v>
      </c>
      <c r="C12" s="65" t="n">
        <v>91.3</v>
      </c>
      <c r="D12" s="61">
        <f>IF(OR(C12="",COUNTIFS(B$4:B$25,"&lt;"&amp;B12,C$4:C$25,"&gt;0")=0),"",C12-SUMIFS(C$4:C$25,B$4:B$25,_xlfn.MAXIFS(B$4:B$25,B$4:B$25,"&lt;"&amp;B12,C$4:C$25,"&gt;0")))</f>
        <v/>
      </c>
      <c r="E12" s="65" t="n">
        <v>39.4</v>
      </c>
      <c r="F12" s="63">
        <f>IF(AND(C12="",E12=""),IF(G12&lt;&gt;"","Sem medição","Por preencher"),IF(AND(C12&lt;&gt;"",E12&lt;&gt;""),"Completa","Incompleta"))</f>
        <v/>
      </c>
      <c r="G12" s="66" t="inlineStr">
        <is>
          <t>Leituras — cintura: 91,3 - 91,3 - 91,2; pescoço: 39,4 - 39,3 - 39,4</t>
        </is>
      </c>
    </row>
    <row r="13" ht="30" customHeight="1">
      <c r="A13" s="63" t="inlineStr">
        <is>
          <t>08/03/2026 - 14/03/2026</t>
        </is>
      </c>
      <c r="B13" s="64" t="n">
        <v>46089</v>
      </c>
      <c r="C13" s="65" t="n">
        <v>90.59999999999999</v>
      </c>
      <c r="D13" s="61">
        <f>IF(OR(C13="",COUNTIFS(B$4:B$25,"&lt;"&amp;B13,C$4:C$25,"&gt;0")=0),"",C13-SUMIFS(C$4:C$25,B$4:B$25,_xlfn.MAXIFS(B$4:B$25,B$4:B$25,"&lt;"&amp;B13,C$4:C$25,"&gt;0")))</f>
        <v/>
      </c>
      <c r="E13" s="65" t="n">
        <v>39.3</v>
      </c>
      <c r="F13" s="63">
        <f>IF(AND(C13="",E13=""),IF(G13&lt;&gt;"","Sem medição","Por preencher"),IF(AND(C13&lt;&gt;"",E13&lt;&gt;""),"Completa","Incompleta"))</f>
        <v/>
      </c>
      <c r="G13" s="66" t="inlineStr">
        <is>
          <t>Leituras — cintura: 90,7 - 90,5 - 90,5; pescoço: 39,2 - 39,4 - 39,3</t>
        </is>
      </c>
    </row>
    <row r="14" ht="30" customHeight="1">
      <c r="A14" s="63" t="inlineStr">
        <is>
          <t>15/03/2026 - 21/03/2026</t>
        </is>
      </c>
      <c r="B14" s="64" t="n">
        <v>46096</v>
      </c>
      <c r="C14" s="65" t="n">
        <v>90</v>
      </c>
      <c r="D14" s="61">
        <f>IF(OR(C14="",COUNTIFS(B$4:B$25,"&lt;"&amp;B14,C$4:C$25,"&gt;0")=0),"",C14-SUMIFS(C$4:C$25,B$4:B$25,_xlfn.MAXIFS(B$4:B$25,B$4:B$25,"&lt;"&amp;B14,C$4:C$25,"&gt;0")))</f>
        <v/>
      </c>
      <c r="E14" s="65" t="n">
        <v>39.2</v>
      </c>
      <c r="F14" s="63">
        <f>IF(AND(C14="",E14=""),IF(G14&lt;&gt;"","Sem medição","Por preencher"),IF(AND(C14&lt;&gt;"",E14&lt;&gt;""),"Completa","Incompleta"))</f>
        <v/>
      </c>
      <c r="G14" s="66" t="inlineStr">
        <is>
          <t>Leituras — cintura: 90 - 89,9 - 90; pescoço: 39,2 - 39,2 - 39,2</t>
        </is>
      </c>
    </row>
    <row r="15" ht="30" customHeight="1">
      <c r="A15" s="63" t="inlineStr">
        <is>
          <t>22/03/2026 - 28/03/2026</t>
        </is>
      </c>
      <c r="B15" s="64" t="n">
        <v>46103</v>
      </c>
      <c r="C15" s="65" t="n">
        <v>89.5</v>
      </c>
      <c r="D15" s="61">
        <f>IF(OR(C15="",COUNTIFS(B$4:B$25,"&lt;"&amp;B15,C$4:C$25,"&gt;0")=0),"",C15-SUMIFS(C$4:C$25,B$4:B$25,_xlfn.MAXIFS(B$4:B$25,B$4:B$25,"&lt;"&amp;B15,C$4:C$25,"&gt;0")))</f>
        <v/>
      </c>
      <c r="E15" s="65" t="n">
        <v>39.2</v>
      </c>
      <c r="F15" s="63">
        <f>IF(AND(C15="",E15=""),IF(G15&lt;&gt;"","Sem medição","Por preencher"),IF(AND(C15&lt;&gt;"",E15&lt;&gt;""),"Completa","Incompleta"))</f>
        <v/>
      </c>
      <c r="G15" s="66" t="inlineStr">
        <is>
          <t>Leituras — cintura: 89,4 - 89,5 - 89,5; pescoço: 39,2 - 39,2 - 39,2</t>
        </is>
      </c>
    </row>
    <row r="16" ht="30" customHeight="1">
      <c r="A16" s="63" t="inlineStr">
        <is>
          <t>29/03/2026 - 04/04/2026</t>
        </is>
      </c>
      <c r="B16" s="64" t="n">
        <v>46110</v>
      </c>
      <c r="C16" s="65" t="n">
        <v>88.8</v>
      </c>
      <c r="D16" s="61">
        <f>IF(OR(C16="",COUNTIFS(B$4:B$25,"&lt;"&amp;B16,C$4:C$25,"&gt;0")=0),"",C16-SUMIFS(C$4:C$25,B$4:B$25,_xlfn.MAXIFS(B$4:B$25,B$4:B$25,"&lt;"&amp;B16,C$4:C$25,"&gt;0")))</f>
        <v/>
      </c>
      <c r="E16" s="65" t="n">
        <v>39.1</v>
      </c>
      <c r="F16" s="63">
        <f>IF(AND(C16="",E16=""),IF(G16&lt;&gt;"","Sem medição","Por preencher"),IF(AND(C16&lt;&gt;"",E16&lt;&gt;""),"Completa","Incompleta"))</f>
        <v/>
      </c>
      <c r="G16" s="66" t="inlineStr">
        <is>
          <t>Leituras — cintura: 88,9 - 88,7 - 88,9; pescoço: 39,1 - 39,1 - 39,1</t>
        </is>
      </c>
    </row>
    <row r="17" ht="30" customHeight="1">
      <c r="A17" s="63" t="inlineStr">
        <is>
          <t>05/04/2026 - 11/04/2026</t>
        </is>
      </c>
      <c r="B17" s="64" t="n">
        <v>46117</v>
      </c>
      <c r="C17" s="65" t="n">
        <v>88.2</v>
      </c>
      <c r="D17" s="61">
        <f>IF(OR(C17="",COUNTIFS(B$4:B$25,"&lt;"&amp;B17,C$4:C$25,"&gt;0")=0),"",C17-SUMIFS(C$4:C$25,B$4:B$25,_xlfn.MAXIFS(B$4:B$25,B$4:B$25,"&lt;"&amp;B17,C$4:C$25,"&gt;0")))</f>
        <v/>
      </c>
      <c r="E17" s="65" t="n">
        <v>38.9</v>
      </c>
      <c r="F17" s="63">
        <f>IF(AND(C17="",E17=""),IF(G17&lt;&gt;"","Sem medição","Por preencher"),IF(AND(C17&lt;&gt;"",E17&lt;&gt;""),"Completa","Incompleta"))</f>
        <v/>
      </c>
      <c r="G17" s="66" t="inlineStr">
        <is>
          <t>Leituras — cintura: 88,3 - 88,1 - 88,3; pescoço: 39 - 38,9 - 38,9</t>
        </is>
      </c>
    </row>
    <row r="18" ht="30" customHeight="1">
      <c r="A18" s="63" t="inlineStr">
        <is>
          <t>12/04/2026 - 18/04/2026</t>
        </is>
      </c>
      <c r="B18" s="64" t="n">
        <v>46124</v>
      </c>
      <c r="C18" s="65" t="n">
        <v>87.59999999999999</v>
      </c>
      <c r="D18" s="61">
        <f>IF(OR(C18="",COUNTIFS(B$4:B$25,"&lt;"&amp;B18,C$4:C$25,"&gt;0")=0),"",C18-SUMIFS(C$4:C$25,B$4:B$25,_xlfn.MAXIFS(B$4:B$25,B$4:B$25,"&lt;"&amp;B18,C$4:C$25,"&gt;0")))</f>
        <v/>
      </c>
      <c r="E18" s="65" t="n">
        <v>38.9</v>
      </c>
      <c r="F18" s="63">
        <f>IF(AND(C18="",E18=""),IF(G18&lt;&gt;"","Sem medição","Por preencher"),IF(AND(C18&lt;&gt;"",E18&lt;&gt;""),"Completa","Incompleta"))</f>
        <v/>
      </c>
      <c r="G18" s="66" t="inlineStr">
        <is>
          <t>Leituras — cintura: 87,7 - 87,7 - 87,5; pescoço: 38,9 - 38,9 - 38,8</t>
        </is>
      </c>
    </row>
    <row r="19" ht="30" customHeight="1">
      <c r="A19" s="63" t="inlineStr">
        <is>
          <t>19/04/2026 - 25/04/2026</t>
        </is>
      </c>
      <c r="B19" s="64" t="n">
        <v>46131</v>
      </c>
      <c r="C19" s="65" t="n">
        <v>87</v>
      </c>
      <c r="D19" s="61">
        <f>IF(OR(C19="",COUNTIFS(B$4:B$25,"&lt;"&amp;B19,C$4:C$25,"&gt;0")=0),"",C19-SUMIFS(C$4:C$25,B$4:B$25,_xlfn.MAXIFS(B$4:B$25,B$4:B$25,"&lt;"&amp;B19,C$4:C$25,"&gt;0")))</f>
        <v/>
      </c>
      <c r="E19" s="65" t="n">
        <v>38.7</v>
      </c>
      <c r="F19" s="63">
        <f>IF(AND(C19="",E19=""),IF(G19&lt;&gt;"","Sem medição","Por preencher"),IF(AND(C19&lt;&gt;"",E19&lt;&gt;""),"Completa","Incompleta"))</f>
        <v/>
      </c>
      <c r="G19" s="66" t="inlineStr">
        <is>
          <t>Leituras — cintura: 86,9 - 87,1 - 87,1; pescoço: 38,7 - 38,8 - 38,7</t>
        </is>
      </c>
    </row>
    <row r="20" ht="30" customHeight="1">
      <c r="A20" s="63" t="inlineStr">
        <is>
          <t>26/04/2026 - 02/05/2026</t>
        </is>
      </c>
      <c r="B20" s="64" t="n">
        <v>46138</v>
      </c>
      <c r="C20" s="65" t="n">
        <v>86.40000000000001</v>
      </c>
      <c r="D20" s="61">
        <f>IF(OR(C20="",COUNTIFS(B$4:B$25,"&lt;"&amp;B20,C$4:C$25,"&gt;0")=0),"",C20-SUMIFS(C$4:C$25,B$4:B$25,_xlfn.MAXIFS(B$4:B$25,B$4:B$25,"&lt;"&amp;B20,C$4:C$25,"&gt;0")))</f>
        <v/>
      </c>
      <c r="E20" s="65" t="n">
        <v>38.8</v>
      </c>
      <c r="F20" s="63">
        <f>IF(AND(C20="",E20=""),IF(G20&lt;&gt;"","Sem medição","Por preencher"),IF(AND(C20&lt;&gt;"",E20&lt;&gt;""),"Completa","Incompleta"))</f>
        <v/>
      </c>
      <c r="G20" s="66" t="inlineStr">
        <is>
          <t>Leituras — cintura: 86,5 - 86,3 - 86,5; pescoço: 38,8 - 38,7 - 38,8</t>
        </is>
      </c>
    </row>
    <row r="21" ht="30" customHeight="1">
      <c r="A21" s="63" t="inlineStr">
        <is>
          <t>03/05/2026 - 09/05/2026</t>
        </is>
      </c>
      <c r="B21" s="64" t="n">
        <v>46145</v>
      </c>
      <c r="C21" s="65" t="n">
        <v>85.7</v>
      </c>
      <c r="D21" s="61">
        <f>IF(OR(C21="",COUNTIFS(B$4:B$25,"&lt;"&amp;B21,C$4:C$25,"&gt;0")=0),"",C21-SUMIFS(C$4:C$25,B$4:B$25,_xlfn.MAXIFS(B$4:B$25,B$4:B$25,"&lt;"&amp;B21,C$4:C$25,"&gt;0")))</f>
        <v/>
      </c>
      <c r="E21" s="65" t="n">
        <v>38.6</v>
      </c>
      <c r="F21" s="63">
        <f>IF(AND(C21="",E21=""),IF(G21&lt;&gt;"","Sem medição","Por preencher"),IF(AND(C21&lt;&gt;"",E21&lt;&gt;""),"Completa","Incompleta"))</f>
        <v/>
      </c>
      <c r="G21" s="66" t="inlineStr">
        <is>
          <t>Leituras — cintura: 85,7 - 85,7 - 85,8; pescoço: 38,5 - 38,6 - 38,6</t>
        </is>
      </c>
    </row>
    <row r="22" ht="30" customHeight="1">
      <c r="A22" s="63" t="inlineStr">
        <is>
          <t>10/05/2026 - 16/05/2026</t>
        </is>
      </c>
      <c r="B22" s="64" t="n">
        <v>46152</v>
      </c>
      <c r="C22" s="65" t="n">
        <v>85.09999999999999</v>
      </c>
      <c r="D22" s="61">
        <f>IF(OR(C22="",COUNTIFS(B$4:B$25,"&lt;"&amp;B22,C$4:C$25,"&gt;0")=0),"",C22-SUMIFS(C$4:C$25,B$4:B$25,_xlfn.MAXIFS(B$4:B$25,B$4:B$25,"&lt;"&amp;B22,C$4:C$25,"&gt;0")))</f>
        <v/>
      </c>
      <c r="E22" s="65" t="n">
        <v>38.6</v>
      </c>
      <c r="F22" s="63">
        <f>IF(AND(C22="",E22=""),IF(G22&lt;&gt;"","Sem medição","Por preencher"),IF(AND(C22&lt;&gt;"",E22&lt;&gt;""),"Completa","Incompleta"))</f>
        <v/>
      </c>
      <c r="G22" s="66" t="inlineStr">
        <is>
          <t>Leituras — cintura: 85,2 - 85,1 - 85,1; pescoço: 38,6 - 38,5 - 38,7</t>
        </is>
      </c>
    </row>
    <row r="23" ht="30" customHeight="1">
      <c r="A23" s="63" t="inlineStr">
        <is>
          <t>17/05/2026 - 23/05/2026</t>
        </is>
      </c>
      <c r="B23" s="64" t="n">
        <v>46159</v>
      </c>
      <c r="C23" s="65" t="n">
        <v>84.59999999999999</v>
      </c>
      <c r="D23" s="61">
        <f>IF(OR(C23="",COUNTIFS(B$4:B$25,"&lt;"&amp;B23,C$4:C$25,"&gt;0")=0),"",C23-SUMIFS(C$4:C$25,B$4:B$25,_xlfn.MAXIFS(B$4:B$25,B$4:B$25,"&lt;"&amp;B23,C$4:C$25,"&gt;0")))</f>
        <v/>
      </c>
      <c r="E23" s="65" t="n">
        <v>38.5</v>
      </c>
      <c r="F23" s="63">
        <f>IF(AND(C23="",E23=""),IF(G23&lt;&gt;"","Sem medição","Por preencher"),IF(AND(C23&lt;&gt;"",E23&lt;&gt;""),"Completa","Incompleta"))</f>
        <v/>
      </c>
      <c r="G23" s="66" t="inlineStr">
        <is>
          <t>Leituras — cintura: 84,7 - 84,6 - 84,6; pescoço: 38,5 - 38,5 - 38,5</t>
        </is>
      </c>
    </row>
    <row r="24" ht="30" customHeight="1">
      <c r="A24" s="63" t="inlineStr">
        <is>
          <t>24/05/2026 - 30/05/2026</t>
        </is>
      </c>
      <c r="B24" s="64" t="n">
        <v>46166</v>
      </c>
      <c r="C24" s="65" t="n"/>
      <c r="D24" s="61">
        <f>IF(OR(C24="",COUNTIFS(B$4:B$25,"&lt;"&amp;B24,C$4:C$25,"&gt;0")=0),"",C24-SUMIFS(C$4:C$25,B$4:B$25,_xlfn.MAXIFS(B$4:B$25,B$4:B$25,"&lt;"&amp;B24,C$4:C$25,"&gt;0")))</f>
        <v/>
      </c>
      <c r="E24" s="65" t="n"/>
      <c r="F24" s="63">
        <f>IF(AND(C24="",E24=""),IF(G24&lt;&gt;"","Sem medição","Por preencher"),IF(AND(C24&lt;&gt;"",E24&lt;&gt;""),"Completa","Incompleta"))</f>
        <v/>
      </c>
      <c r="G24" s="66" t="n"/>
    </row>
    <row r="25" ht="30" customHeight="1">
      <c r="A25" s="63" t="inlineStr">
        <is>
          <t>31/05/2026 - 06/06/2026</t>
        </is>
      </c>
      <c r="B25" s="64" t="n">
        <v>46173</v>
      </c>
      <c r="C25" s="65" t="n"/>
      <c r="D25" s="61">
        <f>IF(OR(C25="",COUNTIFS(B$4:B$25,"&lt;"&amp;B25,C$4:C$25,"&gt;0")=0),"",C25-SUMIFS(C$4:C$25,B$4:B$25,_xlfn.MAXIFS(B$4:B$25,B$4:B$25,"&lt;"&amp;B25,C$4:C$25,"&gt;0")))</f>
        <v/>
      </c>
      <c r="E25" s="65" t="n"/>
      <c r="F25" s="63">
        <f>IF(AND(C25="",E25=""),IF(G25&lt;&gt;"","Sem medição","Por preencher"),IF(AND(C25&lt;&gt;"",E25&lt;&gt;""),"Completa","Incompleta"))</f>
        <v/>
      </c>
      <c r="G25" s="66" t="n"/>
    </row>
  </sheetData>
  <mergeCells count="2">
    <mergeCell ref="A2:G2"/>
    <mergeCell ref="A1:G1"/>
  </mergeCells>
  <conditionalFormatting sqref="F4:F25">
    <cfRule type="expression" priority="1" dxfId="2">
      <formula>$F4="Completa"</formula>
    </cfRule>
    <cfRule type="expression" priority="2" dxfId="3">
      <formula>$F4="Incompleta"</formula>
    </cfRule>
    <cfRule type="expression" priority="3" dxfId="1">
      <formula>$F4="Por preencher"</formula>
    </cfRule>
    <cfRule type="expression" priority="4" dxfId="4">
      <formula>$F4="Sem medição"</formula>
    </cfRule>
  </conditionalFormatting>
  <dataValidations count="3">
    <dataValidation sqref="C4:C25" showDropDown="0" showInputMessage="0" showErrorMessage="1" allowBlank="1" errorTitle="Valor inválido" error="Introduza a cintura em centímetros (1 a 300)." type="decimal" operator="between">
      <formula1>1</formula1>
      <formula2>300</formula2>
    </dataValidation>
    <dataValidation sqref="E4:E25" showDropDown="0" showInputMessage="0" showErrorMessage="1" allowBlank="1" errorTitle="Valor inválido" error="Introduza a pescoço em centímetros (1 a 150)." type="decimal" operator="between">
      <formula1>1</formula1>
      <formula2>150</formula2>
    </dataValidation>
    <dataValidation sqref="B4:B25" showDropDown="0" showInputMessage="0" showErrorMessage="1" allowBlank="1" errorTitle="Data fora da semana" error="A data da medição tem de pertencer à semana da coluna A." type="custom">
      <formula1>AND(B4&gt;=DATE(VALUE(MID(A4,7,4)),VALUE(MID(A4,4,2)),VALUE(LEFT(A4,2))),B4&lt;=DATE(VALUE(MID(A4,7,4)),VALUE(MID(A4,4,2)),VALUE(LEFT(A4,2)))+6)</formula1>
    </dataValidation>
  </dataValidations>
  <pageMargins left="0.75" right="0.75" top="1" bottom="1" header="0.5" footer="0.5"/>
  <ignoredErrors>
    <ignoredError sqref="A1:Z3000" formula="1" formulaRange="1" numberStoredAsText="1"/>
  </ignoredErrors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9" customWidth="1" min="3" max="3"/>
    <col width="11" customWidth="1" min="4" max="4"/>
    <col width="13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5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hidden="1" width="11" customWidth="1" min="17" max="17"/>
    <col hidden="1" width="19" customWidth="1" min="18" max="18"/>
  </cols>
  <sheetData>
    <row r="1" ht="32" customHeight="1">
      <c r="A1" s="1" t="inlineStr">
        <is>
          <t>Medições corporais completas desde 04/01/2026</t>
        </is>
      </c>
    </row>
    <row r="2" ht="20" customHeight="1">
      <c r="A2" s="49" t="inlineStr">
        <is>
          <t>144 leituras aceites · Atualizado em 11/10/2026 16:40 · fórmulas: massa gorda e médias móveis de 7 dias</t>
        </is>
      </c>
    </row>
    <row r="3" ht="58" customHeight="1">
      <c r="A3" s="50" t="inlineStr">
        <is>
          <t>Data/hora</t>
        </is>
      </c>
      <c r="B3" s="50" t="inlineStr">
        <is>
          <t>Peso (kg)</t>
        </is>
      </c>
      <c r="C3" s="50" t="inlineStr">
        <is>
          <t>IMC</t>
        </is>
      </c>
      <c r="D3" s="50" t="inlineStr">
        <is>
          <t>Gordura (%)</t>
        </is>
      </c>
      <c r="E3" s="50" t="inlineStr">
        <is>
          <t>Água corporal (%)</t>
        </is>
      </c>
      <c r="F3" s="50" t="inlineStr">
        <is>
          <t>Massa óssea (kg)</t>
        </is>
      </c>
      <c r="G3" s="50" t="inlineStr">
        <is>
          <t>Massa muscular (kg)</t>
        </is>
      </c>
      <c r="H3" s="50" t="inlineStr">
        <is>
          <t>Proteína (%)</t>
        </is>
      </c>
      <c r="I3" s="50" t="inlineStr">
        <is>
          <t>Massa gorda (kg)</t>
        </is>
      </c>
      <c r="J3" s="50" t="inlineStr">
        <is>
          <t>Gordura visceral (índice)</t>
        </is>
      </c>
      <c r="K3" s="50" t="inlineStr">
        <is>
          <t>Metabolismo basal (kcal/dia)</t>
        </is>
      </c>
      <c r="L3" s="50" t="inlineStr">
        <is>
          <t>Idade corporal (anos)</t>
        </is>
      </c>
      <c r="M3" s="50" t="inlineStr">
        <is>
          <t>Pontuação corporal</t>
        </is>
      </c>
      <c r="N3" s="50" t="inlineStr">
        <is>
          <t>Peso, média 7 dias (kg)</t>
        </is>
      </c>
      <c r="O3" s="50" t="inlineStr">
        <is>
          <t>Gordura, média 7 dias (%)</t>
        </is>
      </c>
      <c r="P3" s="50" t="inlineStr">
        <is>
          <t>Músculo, média 7 dias (kg)</t>
        </is>
      </c>
      <c r="Q3" s="50" t="inlineStr">
        <is>
          <t>Dia</t>
        </is>
      </c>
      <c r="R3" s="50" t="inlineStr">
        <is>
          <t>Instante UTC</t>
        </is>
      </c>
    </row>
    <row r="4">
      <c r="A4" s="67" t="n">
        <v>46026.44027777778</v>
      </c>
      <c r="B4" s="58" t="n">
        <v>83.93000000000001</v>
      </c>
      <c r="C4" s="58" t="n">
        <v>26.491218</v>
      </c>
      <c r="D4" s="60" t="n">
        <v>25.3</v>
      </c>
      <c r="E4" s="60" t="n">
        <v>52.3</v>
      </c>
      <c r="F4" s="58" t="n">
        <v>3.1</v>
      </c>
      <c r="G4" s="58" t="n">
        <v>59.64</v>
      </c>
      <c r="H4" s="60" t="n">
        <v>19.5</v>
      </c>
      <c r="I4" s="58">
        <f>IF(D4="","",B4*D4/100)</f>
        <v/>
      </c>
      <c r="J4" s="56" t="n">
        <v>9</v>
      </c>
      <c r="K4" s="68" t="n">
        <v>1678</v>
      </c>
      <c r="L4" s="56" t="n">
        <v>30</v>
      </c>
      <c r="M4" s="56" t="n">
        <v>80</v>
      </c>
      <c r="N4" s="58">
        <f>AVERAGEIFS($B$4:$B$147,$A$4:$A$147,"&gt;"&amp;$A4-7,$A$4:$A$147,"&lt;="&amp;$A4)</f>
        <v/>
      </c>
      <c r="O4" s="58">
        <f>AVERAGEIFS($D$4:$D$147,$A$4:$A$147,"&gt;"&amp;$A4-7,$A$4:$A$147,"&lt;="&amp;$A4)</f>
        <v/>
      </c>
      <c r="P4" s="58">
        <f>AVERAGEIFS($G$4:$G$147,$A$4:$A$147,"&gt;"&amp;$A4-7,$A$4:$A$147,"&lt;="&amp;$A4)</f>
        <v/>
      </c>
      <c r="Q4" s="55">
        <f>INT(A4)</f>
        <v/>
      </c>
      <c r="R4" s="69" t="n">
        <v>46026.44027777778</v>
      </c>
    </row>
    <row r="5">
      <c r="A5" s="67" t="n">
        <v>46027.29930555556</v>
      </c>
      <c r="B5" s="58" t="n">
        <v>84.31999999999999</v>
      </c>
      <c r="C5" s="58" t="n">
        <v>26.611733</v>
      </c>
      <c r="D5" s="60" t="n">
        <v>25.3</v>
      </c>
      <c r="E5" s="60" t="n">
        <v>52.3</v>
      </c>
      <c r="F5" s="58" t="n">
        <v>3.1</v>
      </c>
      <c r="G5" s="58" t="n">
        <v>59.54</v>
      </c>
      <c r="H5" s="60" t="n">
        <v>19.5</v>
      </c>
      <c r="I5" s="58">
        <f>IF(D5="","",B5*D5/100)</f>
        <v/>
      </c>
      <c r="J5" s="56" t="n">
        <v>9</v>
      </c>
      <c r="K5" s="68" t="n">
        <v>1678</v>
      </c>
      <c r="L5" s="56" t="n">
        <v>30</v>
      </c>
      <c r="M5" s="56" t="n">
        <v>80</v>
      </c>
      <c r="N5" s="58">
        <f>AVERAGEIFS($B$4:$B$147,$A$4:$A$147,"&gt;"&amp;$A5-7,$A$4:$A$147,"&lt;="&amp;$A5)</f>
        <v/>
      </c>
      <c r="O5" s="58">
        <f>AVERAGEIFS($D$4:$D$147,$A$4:$A$147,"&gt;"&amp;$A5-7,$A$4:$A$147,"&lt;="&amp;$A5)</f>
        <v/>
      </c>
      <c r="P5" s="58">
        <f>AVERAGEIFS($G$4:$G$147,$A$4:$A$147,"&gt;"&amp;$A5-7,$A$4:$A$147,"&lt;="&amp;$A5)</f>
        <v/>
      </c>
      <c r="Q5" s="55">
        <f>INT(A5)</f>
        <v/>
      </c>
      <c r="R5" s="69" t="n">
        <v>46027.29930555556</v>
      </c>
    </row>
    <row r="6">
      <c r="A6" s="67" t="n">
        <v>46028.31666666667</v>
      </c>
      <c r="B6" s="58" t="n">
        <v>84.05</v>
      </c>
      <c r="C6" s="58" t="n">
        <v>26.528602</v>
      </c>
      <c r="D6" s="60" t="n">
        <v>25.2</v>
      </c>
      <c r="E6" s="60" t="n">
        <v>52.4</v>
      </c>
      <c r="F6" s="58" t="n">
        <v>3.1</v>
      </c>
      <c r="G6" s="58" t="n">
        <v>59.55</v>
      </c>
      <c r="H6" s="60" t="n">
        <v>19.5</v>
      </c>
      <c r="I6" s="58">
        <f>IF(D6="","",B6*D6/100)</f>
        <v/>
      </c>
      <c r="J6" s="56" t="n">
        <v>9</v>
      </c>
      <c r="K6" s="68" t="n">
        <v>1678</v>
      </c>
      <c r="L6" s="56" t="n">
        <v>30</v>
      </c>
      <c r="M6" s="56" t="n">
        <v>80</v>
      </c>
      <c r="N6" s="58">
        <f>AVERAGEIFS($B$4:$B$147,$A$4:$A$147,"&gt;"&amp;$A6-7,$A$4:$A$147,"&lt;="&amp;$A6)</f>
        <v/>
      </c>
      <c r="O6" s="58">
        <f>AVERAGEIFS($D$4:$D$147,$A$4:$A$147,"&gt;"&amp;$A6-7,$A$4:$A$147,"&lt;="&amp;$A6)</f>
        <v/>
      </c>
      <c r="P6" s="58">
        <f>AVERAGEIFS($G$4:$G$147,$A$4:$A$147,"&gt;"&amp;$A6-7,$A$4:$A$147,"&lt;="&amp;$A6)</f>
        <v/>
      </c>
      <c r="Q6" s="55">
        <f>INT(A6)</f>
        <v/>
      </c>
      <c r="R6" s="69" t="n">
        <v>46028.31666666667</v>
      </c>
    </row>
    <row r="7">
      <c r="A7" s="67" t="n">
        <v>46029.31041666667</v>
      </c>
      <c r="B7" s="58" t="n">
        <v>83.93000000000001</v>
      </c>
      <c r="C7" s="58" t="n">
        <v>26.488672</v>
      </c>
      <c r="D7" s="60" t="n">
        <v>24.5</v>
      </c>
      <c r="E7" s="60" t="n">
        <v>52.9</v>
      </c>
      <c r="F7" s="58" t="n">
        <v>3.1</v>
      </c>
      <c r="G7" s="58" t="n">
        <v>59.7</v>
      </c>
      <c r="H7" s="60" t="n">
        <v>19.5</v>
      </c>
      <c r="I7" s="58">
        <f>IF(D7="","",B7*D7/100)</f>
        <v/>
      </c>
      <c r="J7" s="56" t="n">
        <v>9</v>
      </c>
      <c r="K7" s="68" t="n">
        <v>1679</v>
      </c>
      <c r="L7" s="56" t="n">
        <v>30</v>
      </c>
      <c r="M7" s="56" t="n">
        <v>80</v>
      </c>
      <c r="N7" s="58">
        <f>AVERAGEIFS($B$4:$B$147,$A$4:$A$147,"&gt;"&amp;$A7-7,$A$4:$A$147,"&lt;="&amp;$A7)</f>
        <v/>
      </c>
      <c r="O7" s="58">
        <f>AVERAGEIFS($D$4:$D$147,$A$4:$A$147,"&gt;"&amp;$A7-7,$A$4:$A$147,"&lt;="&amp;$A7)</f>
        <v/>
      </c>
      <c r="P7" s="58">
        <f>AVERAGEIFS($G$4:$G$147,$A$4:$A$147,"&gt;"&amp;$A7-7,$A$4:$A$147,"&lt;="&amp;$A7)</f>
        <v/>
      </c>
      <c r="Q7" s="55">
        <f>INT(A7)</f>
        <v/>
      </c>
      <c r="R7" s="69" t="n">
        <v>46029.31041666667</v>
      </c>
    </row>
    <row r="8">
      <c r="A8" s="67" t="n">
        <v>46030.29930555556</v>
      </c>
      <c r="B8" s="58" t="n">
        <v>83.66</v>
      </c>
      <c r="C8" s="58" t="n">
        <v>26.404467</v>
      </c>
      <c r="D8" s="60" t="n">
        <v>24.8</v>
      </c>
      <c r="E8" s="60" t="n">
        <v>52.7</v>
      </c>
      <c r="F8" s="58" t="n">
        <v>3.1</v>
      </c>
      <c r="G8" s="58" t="n">
        <v>59.31</v>
      </c>
      <c r="H8" s="60" t="n">
        <v>19.5</v>
      </c>
      <c r="I8" s="58">
        <f>IF(D8="","",B8*D8/100)</f>
        <v/>
      </c>
      <c r="J8" s="56" t="n">
        <v>9</v>
      </c>
      <c r="K8" s="68" t="n">
        <v>1677</v>
      </c>
      <c r="L8" s="56" t="n">
        <v>30</v>
      </c>
      <c r="M8" s="56" t="n">
        <v>80</v>
      </c>
      <c r="N8" s="58">
        <f>AVERAGEIFS($B$4:$B$147,$A$4:$A$147,"&gt;"&amp;$A8-7,$A$4:$A$147,"&lt;="&amp;$A8)</f>
        <v/>
      </c>
      <c r="O8" s="58">
        <f>AVERAGEIFS($D$4:$D$147,$A$4:$A$147,"&gt;"&amp;$A8-7,$A$4:$A$147,"&lt;="&amp;$A8)</f>
        <v/>
      </c>
      <c r="P8" s="58">
        <f>AVERAGEIFS($G$4:$G$147,$A$4:$A$147,"&gt;"&amp;$A8-7,$A$4:$A$147,"&lt;="&amp;$A8)</f>
        <v/>
      </c>
      <c r="Q8" s="55">
        <f>INT(A8)</f>
        <v/>
      </c>
      <c r="R8" s="69" t="n">
        <v>46030.29930555556</v>
      </c>
    </row>
    <row r="9">
      <c r="A9" s="67" t="n">
        <v>46031.31458333333</v>
      </c>
      <c r="B9" s="58" t="n">
        <v>83.45</v>
      </c>
      <c r="C9" s="58" t="n">
        <v>26.336868</v>
      </c>
      <c r="D9" s="60" t="n">
        <v>24.8</v>
      </c>
      <c r="E9" s="60" t="n">
        <v>52.6</v>
      </c>
      <c r="F9" s="58" t="n">
        <v>3.1</v>
      </c>
      <c r="G9" s="58" t="n">
        <v>59.15</v>
      </c>
      <c r="H9" s="60" t="n">
        <v>19.5</v>
      </c>
      <c r="I9" s="58">
        <f>IF(D9="","",B9*D9/100)</f>
        <v/>
      </c>
      <c r="J9" s="56" t="n">
        <v>9</v>
      </c>
      <c r="K9" s="68" t="n">
        <v>1677</v>
      </c>
      <c r="L9" s="56" t="n">
        <v>30</v>
      </c>
      <c r="M9" s="56" t="n">
        <v>80</v>
      </c>
      <c r="N9" s="58">
        <f>AVERAGEIFS($B$4:$B$147,$A$4:$A$147,"&gt;"&amp;$A9-7,$A$4:$A$147,"&lt;="&amp;$A9)</f>
        <v/>
      </c>
      <c r="O9" s="58">
        <f>AVERAGEIFS($D$4:$D$147,$A$4:$A$147,"&gt;"&amp;$A9-7,$A$4:$A$147,"&lt;="&amp;$A9)</f>
        <v/>
      </c>
      <c r="P9" s="58">
        <f>AVERAGEIFS($G$4:$G$147,$A$4:$A$147,"&gt;"&amp;$A9-7,$A$4:$A$147,"&lt;="&amp;$A9)</f>
        <v/>
      </c>
      <c r="Q9" s="55">
        <f>INT(A9)</f>
        <v/>
      </c>
      <c r="R9" s="69" t="n">
        <v>46031.31458333333</v>
      </c>
    </row>
    <row r="10">
      <c r="A10" s="67" t="n">
        <v>46033.42361111111</v>
      </c>
      <c r="B10" s="58" t="n">
        <v>83.81999999999999</v>
      </c>
      <c r="C10" s="58" t="n">
        <v>26.456534</v>
      </c>
      <c r="D10" s="60" t="n">
        <v>24.8</v>
      </c>
      <c r="E10" s="60" t="n">
        <v>52.7</v>
      </c>
      <c r="F10" s="58" t="n">
        <v>3.1</v>
      </c>
      <c r="G10" s="58" t="n">
        <v>59.33</v>
      </c>
      <c r="H10" s="60" t="n">
        <v>19.5</v>
      </c>
      <c r="I10" s="58">
        <f>IF(D10="","",B10*D10/100)</f>
        <v/>
      </c>
      <c r="J10" s="56" t="n">
        <v>9</v>
      </c>
      <c r="K10" s="68" t="n">
        <v>1677</v>
      </c>
      <c r="L10" s="56" t="n">
        <v>30</v>
      </c>
      <c r="M10" s="56" t="n">
        <v>80</v>
      </c>
      <c r="N10" s="58">
        <f>AVERAGEIFS($B$4:$B$147,$A$4:$A$147,"&gt;"&amp;$A10-7,$A$4:$A$147,"&lt;="&amp;$A10)</f>
        <v/>
      </c>
      <c r="O10" s="58">
        <f>AVERAGEIFS($D$4:$D$147,$A$4:$A$147,"&gt;"&amp;$A10-7,$A$4:$A$147,"&lt;="&amp;$A10)</f>
        <v/>
      </c>
      <c r="P10" s="58">
        <f>AVERAGEIFS($G$4:$G$147,$A$4:$A$147,"&gt;"&amp;$A10-7,$A$4:$A$147,"&lt;="&amp;$A10)</f>
        <v/>
      </c>
      <c r="Q10" s="55">
        <f>INT(A10)</f>
        <v/>
      </c>
      <c r="R10" s="69" t="n">
        <v>46033.42361111111</v>
      </c>
    </row>
    <row r="11">
      <c r="A11" s="67" t="n">
        <v>46034.29305555556</v>
      </c>
      <c r="B11" s="58" t="n">
        <v>83.76000000000001</v>
      </c>
      <c r="C11" s="58" t="n">
        <v>26.437122</v>
      </c>
      <c r="D11" s="60" t="n">
        <v>24.7</v>
      </c>
      <c r="E11" s="60" t="n">
        <v>52.7</v>
      </c>
      <c r="F11" s="58" t="n">
        <v>3.1</v>
      </c>
      <c r="G11" s="58" t="n">
        <v>59.06</v>
      </c>
      <c r="H11" s="60" t="n">
        <v>19.5</v>
      </c>
      <c r="I11" s="58">
        <f>IF(D11="","",B11*D11/100)</f>
        <v/>
      </c>
      <c r="J11" s="56" t="n">
        <v>9</v>
      </c>
      <c r="K11" s="68" t="n">
        <v>1677</v>
      </c>
      <c r="L11" s="56" t="n">
        <v>30</v>
      </c>
      <c r="M11" s="56" t="n">
        <v>80</v>
      </c>
      <c r="N11" s="58">
        <f>AVERAGEIFS($B$4:$B$147,$A$4:$A$147,"&gt;"&amp;$A11-7,$A$4:$A$147,"&lt;="&amp;$A11)</f>
        <v/>
      </c>
      <c r="O11" s="58">
        <f>AVERAGEIFS($D$4:$D$147,$A$4:$A$147,"&gt;"&amp;$A11-7,$A$4:$A$147,"&lt;="&amp;$A11)</f>
        <v/>
      </c>
      <c r="P11" s="58">
        <f>AVERAGEIFS($G$4:$G$147,$A$4:$A$147,"&gt;"&amp;$A11-7,$A$4:$A$147,"&lt;="&amp;$A11)</f>
        <v/>
      </c>
      <c r="Q11" s="55">
        <f>INT(A11)</f>
        <v/>
      </c>
      <c r="R11" s="69" t="n">
        <v>46034.29305555556</v>
      </c>
    </row>
    <row r="12">
      <c r="A12" s="67" t="n">
        <v>46035.30625</v>
      </c>
      <c r="B12" s="58" t="n">
        <v>83.36</v>
      </c>
      <c r="C12" s="58" t="n">
        <v>26.309696</v>
      </c>
      <c r="D12" s="60" t="n">
        <v>24.5</v>
      </c>
      <c r="E12" s="60" t="n">
        <v>52.8</v>
      </c>
      <c r="F12" s="58" t="n">
        <v>3.1</v>
      </c>
      <c r="G12" s="58" t="n">
        <v>59.15</v>
      </c>
      <c r="H12" s="60" t="n">
        <v>19.5</v>
      </c>
      <c r="I12" s="58">
        <f>IF(D12="","",B12*D12/100)</f>
        <v/>
      </c>
      <c r="J12" s="56" t="n">
        <v>9</v>
      </c>
      <c r="K12" s="68" t="n">
        <v>1677</v>
      </c>
      <c r="L12" s="56" t="n">
        <v>30</v>
      </c>
      <c r="M12" s="56" t="n">
        <v>80</v>
      </c>
      <c r="N12" s="58">
        <f>AVERAGEIFS($B$4:$B$147,$A$4:$A$147,"&gt;"&amp;$A12-7,$A$4:$A$147,"&lt;="&amp;$A12)</f>
        <v/>
      </c>
      <c r="O12" s="58">
        <f>AVERAGEIFS($D$4:$D$147,$A$4:$A$147,"&gt;"&amp;$A12-7,$A$4:$A$147,"&lt;="&amp;$A12)</f>
        <v/>
      </c>
      <c r="P12" s="58">
        <f>AVERAGEIFS($G$4:$G$147,$A$4:$A$147,"&gt;"&amp;$A12-7,$A$4:$A$147,"&lt;="&amp;$A12)</f>
        <v/>
      </c>
      <c r="Q12" s="55">
        <f>INT(A12)</f>
        <v/>
      </c>
      <c r="R12" s="69" t="n">
        <v>46035.30625</v>
      </c>
    </row>
    <row r="13">
      <c r="A13" s="67" t="n">
        <v>46036.31180555555</v>
      </c>
      <c r="B13" s="58" t="n">
        <v>83.67</v>
      </c>
      <c r="C13" s="58" t="n">
        <v>26.408989</v>
      </c>
      <c r="D13" s="60" t="n">
        <v>24.7</v>
      </c>
      <c r="E13" s="60" t="n">
        <v>52.7</v>
      </c>
      <c r="F13" s="58" t="n">
        <v>3.1</v>
      </c>
      <c r="G13" s="58" t="n">
        <v>59.41</v>
      </c>
      <c r="H13" s="60" t="n">
        <v>19.5</v>
      </c>
      <c r="I13" s="58">
        <f>IF(D13="","",B13*D13/100)</f>
        <v/>
      </c>
      <c r="J13" s="56" t="n">
        <v>9</v>
      </c>
      <c r="K13" s="68" t="n">
        <v>1678</v>
      </c>
      <c r="L13" s="56" t="n">
        <v>30</v>
      </c>
      <c r="M13" s="56" t="n">
        <v>80</v>
      </c>
      <c r="N13" s="58">
        <f>AVERAGEIFS($B$4:$B$147,$A$4:$A$147,"&gt;"&amp;$A13-7,$A$4:$A$147,"&lt;="&amp;$A13)</f>
        <v/>
      </c>
      <c r="O13" s="58">
        <f>AVERAGEIFS($D$4:$D$147,$A$4:$A$147,"&gt;"&amp;$A13-7,$A$4:$A$147,"&lt;="&amp;$A13)</f>
        <v/>
      </c>
      <c r="P13" s="58">
        <f>AVERAGEIFS($G$4:$G$147,$A$4:$A$147,"&gt;"&amp;$A13-7,$A$4:$A$147,"&lt;="&amp;$A13)</f>
        <v/>
      </c>
      <c r="Q13" s="55">
        <f>INT(A13)</f>
        <v/>
      </c>
      <c r="R13" s="69" t="n">
        <v>46036.31180555555</v>
      </c>
    </row>
    <row r="14">
      <c r="A14" s="67" t="n">
        <v>46038.30486111111</v>
      </c>
      <c r="B14" s="58" t="n">
        <v>83.98</v>
      </c>
      <c r="C14" s="58" t="n">
        <v>26.504437</v>
      </c>
      <c r="D14" s="60" t="n">
        <v>23.8</v>
      </c>
      <c r="E14" s="60" t="n">
        <v>53.3</v>
      </c>
      <c r="F14" s="58" t="n">
        <v>3.1</v>
      </c>
      <c r="G14" s="58" t="n">
        <v>58.82</v>
      </c>
      <c r="H14" s="60" t="n">
        <v>19.5</v>
      </c>
      <c r="I14" s="58">
        <f>IF(D14="","",B14*D14/100)</f>
        <v/>
      </c>
      <c r="J14" s="56" t="n">
        <v>9</v>
      </c>
      <c r="K14" s="68" t="n">
        <v>1676</v>
      </c>
      <c r="L14" s="56" t="n">
        <v>30</v>
      </c>
      <c r="M14" s="56" t="n">
        <v>80</v>
      </c>
      <c r="N14" s="58">
        <f>AVERAGEIFS($B$4:$B$147,$A$4:$A$147,"&gt;"&amp;$A14-7,$A$4:$A$147,"&lt;="&amp;$A14)</f>
        <v/>
      </c>
      <c r="O14" s="58">
        <f>AVERAGEIFS($D$4:$D$147,$A$4:$A$147,"&gt;"&amp;$A14-7,$A$4:$A$147,"&lt;="&amp;$A14)</f>
        <v/>
      </c>
      <c r="P14" s="58">
        <f>AVERAGEIFS($G$4:$G$147,$A$4:$A$147,"&gt;"&amp;$A14-7,$A$4:$A$147,"&lt;="&amp;$A14)</f>
        <v/>
      </c>
      <c r="Q14" s="55">
        <f>INT(A14)</f>
        <v/>
      </c>
      <c r="R14" s="69" t="n">
        <v>46038.30486111111</v>
      </c>
    </row>
    <row r="15">
      <c r="A15" s="67" t="n">
        <v>46039.42916666667</v>
      </c>
      <c r="B15" s="58" t="n">
        <v>83.23999999999999</v>
      </c>
      <c r="C15" s="58" t="n">
        <v>26.27231</v>
      </c>
      <c r="D15" s="60" t="n">
        <v>23.7</v>
      </c>
      <c r="E15" s="60" t="n">
        <v>53.4</v>
      </c>
      <c r="F15" s="58" t="n">
        <v>3.1</v>
      </c>
      <c r="G15" s="58" t="n">
        <v>59.11</v>
      </c>
      <c r="H15" s="60" t="n">
        <v>19.5</v>
      </c>
      <c r="I15" s="58">
        <f>IF(D15="","",B15*D15/100)</f>
        <v/>
      </c>
      <c r="J15" s="56" t="n">
        <v>9</v>
      </c>
      <c r="K15" s="68" t="n">
        <v>1677</v>
      </c>
      <c r="L15" s="56" t="n">
        <v>30</v>
      </c>
      <c r="M15" s="56" t="n">
        <v>80</v>
      </c>
      <c r="N15" s="58">
        <f>AVERAGEIFS($B$4:$B$147,$A$4:$A$147,"&gt;"&amp;$A15-7,$A$4:$A$147,"&lt;="&amp;$A15)</f>
        <v/>
      </c>
      <c r="O15" s="58">
        <f>AVERAGEIFS($D$4:$D$147,$A$4:$A$147,"&gt;"&amp;$A15-7,$A$4:$A$147,"&lt;="&amp;$A15)</f>
        <v/>
      </c>
      <c r="P15" s="58">
        <f>AVERAGEIFS($G$4:$G$147,$A$4:$A$147,"&gt;"&amp;$A15-7,$A$4:$A$147,"&lt;="&amp;$A15)</f>
        <v/>
      </c>
      <c r="Q15" s="55">
        <f>INT(A15)</f>
        <v/>
      </c>
      <c r="R15" s="69" t="n">
        <v>46039.42916666667</v>
      </c>
    </row>
    <row r="16">
      <c r="A16" s="67" t="n">
        <v>46040.44375</v>
      </c>
      <c r="B16" s="58" t="n">
        <v>84.03</v>
      </c>
      <c r="C16" s="58" t="n">
        <v>26.520867</v>
      </c>
      <c r="D16" s="60" t="n">
        <v>24.6</v>
      </c>
      <c r="E16" s="60" t="n">
        <v>52.8</v>
      </c>
      <c r="F16" s="58" t="n">
        <v>3.1</v>
      </c>
      <c r="G16" s="58" t="n">
        <v>59.5</v>
      </c>
      <c r="H16" s="60" t="n">
        <v>19.5</v>
      </c>
      <c r="I16" s="58">
        <f>IF(D16="","",B16*D16/100)</f>
        <v/>
      </c>
      <c r="J16" s="56" t="n">
        <v>9</v>
      </c>
      <c r="K16" s="68" t="n">
        <v>1678</v>
      </c>
      <c r="L16" s="56" t="n">
        <v>30</v>
      </c>
      <c r="M16" s="56" t="n">
        <v>80</v>
      </c>
      <c r="N16" s="58">
        <f>AVERAGEIFS($B$4:$B$147,$A$4:$A$147,"&gt;"&amp;$A16-7,$A$4:$A$147,"&lt;="&amp;$A16)</f>
        <v/>
      </c>
      <c r="O16" s="58">
        <f>AVERAGEIFS($D$4:$D$147,$A$4:$A$147,"&gt;"&amp;$A16-7,$A$4:$A$147,"&lt;="&amp;$A16)</f>
        <v/>
      </c>
      <c r="P16" s="58">
        <f>AVERAGEIFS($G$4:$G$147,$A$4:$A$147,"&gt;"&amp;$A16-7,$A$4:$A$147,"&lt;="&amp;$A16)</f>
        <v/>
      </c>
      <c r="Q16" s="55">
        <f>INT(A16)</f>
        <v/>
      </c>
      <c r="R16" s="69" t="n">
        <v>46040.44375</v>
      </c>
    </row>
    <row r="17">
      <c r="A17" s="67" t="n">
        <v>46041.29722222222</v>
      </c>
      <c r="B17" s="58" t="n">
        <v>83.27</v>
      </c>
      <c r="C17" s="58" t="n">
        <v>26.282744</v>
      </c>
      <c r="D17" s="60" t="n">
        <v>24.1</v>
      </c>
      <c r="E17" s="60" t="n">
        <v>53.1</v>
      </c>
      <c r="F17" s="58" t="n">
        <v>3.1</v>
      </c>
      <c r="G17" s="58" t="n">
        <v>59.69</v>
      </c>
      <c r="H17" s="60" t="n">
        <v>19.5</v>
      </c>
      <c r="I17" s="58">
        <f>IF(D17="","",B17*D17/100)</f>
        <v/>
      </c>
      <c r="J17" s="56" t="n">
        <v>9</v>
      </c>
      <c r="K17" s="68" t="n">
        <v>1679</v>
      </c>
      <c r="L17" s="56" t="n">
        <v>30</v>
      </c>
      <c r="M17" s="56" t="n">
        <v>80</v>
      </c>
      <c r="N17" s="58">
        <f>AVERAGEIFS($B$4:$B$147,$A$4:$A$147,"&gt;"&amp;$A17-7,$A$4:$A$147,"&lt;="&amp;$A17)</f>
        <v/>
      </c>
      <c r="O17" s="58">
        <f>AVERAGEIFS($D$4:$D$147,$A$4:$A$147,"&gt;"&amp;$A17-7,$A$4:$A$147,"&lt;="&amp;$A17)</f>
        <v/>
      </c>
      <c r="P17" s="58">
        <f>AVERAGEIFS($G$4:$G$147,$A$4:$A$147,"&gt;"&amp;$A17-7,$A$4:$A$147,"&lt;="&amp;$A17)</f>
        <v/>
      </c>
      <c r="Q17" s="55">
        <f>INT(A17)</f>
        <v/>
      </c>
      <c r="R17" s="69" t="n">
        <v>46041.29722222222</v>
      </c>
    </row>
    <row r="18">
      <c r="A18" s="67" t="n">
        <v>46042.30902777778</v>
      </c>
      <c r="B18" s="58" t="n">
        <v>83.05</v>
      </c>
      <c r="C18" s="58" t="n">
        <v>26.211545</v>
      </c>
      <c r="D18" s="60" t="n">
        <v>23.7</v>
      </c>
      <c r="E18" s="60" t="n">
        <v>53.4</v>
      </c>
      <c r="F18" s="58" t="n">
        <v>3.1</v>
      </c>
      <c r="G18" s="58" t="n">
        <v>59.28</v>
      </c>
      <c r="H18" s="60" t="n">
        <v>19.5</v>
      </c>
      <c r="I18" s="58">
        <f>IF(D18="","",B18*D18/100)</f>
        <v/>
      </c>
      <c r="J18" s="56" t="n">
        <v>9</v>
      </c>
      <c r="K18" s="68" t="n">
        <v>1677</v>
      </c>
      <c r="L18" s="56" t="n">
        <v>30</v>
      </c>
      <c r="M18" s="56" t="n">
        <v>80</v>
      </c>
      <c r="N18" s="58">
        <f>AVERAGEIFS($B$4:$B$147,$A$4:$A$147,"&gt;"&amp;$A18-7,$A$4:$A$147,"&lt;="&amp;$A18)</f>
        <v/>
      </c>
      <c r="O18" s="58">
        <f>AVERAGEIFS($D$4:$D$147,$A$4:$A$147,"&gt;"&amp;$A18-7,$A$4:$A$147,"&lt;="&amp;$A18)</f>
        <v/>
      </c>
      <c r="P18" s="58">
        <f>AVERAGEIFS($G$4:$G$147,$A$4:$A$147,"&gt;"&amp;$A18-7,$A$4:$A$147,"&lt;="&amp;$A18)</f>
        <v/>
      </c>
      <c r="Q18" s="55">
        <f>INT(A18)</f>
        <v/>
      </c>
      <c r="R18" s="69" t="n">
        <v>46042.30902777778</v>
      </c>
    </row>
    <row r="19">
      <c r="A19" s="67" t="n">
        <v>46043.32986111111</v>
      </c>
      <c r="B19" s="58" t="n">
        <v>82.69</v>
      </c>
      <c r="C19" s="58" t="n">
        <v>26.09701</v>
      </c>
      <c r="D19" s="60" t="n">
        <v>24.2</v>
      </c>
      <c r="E19" s="60" t="n">
        <v>53</v>
      </c>
      <c r="F19" s="58" t="n">
        <v>3.1</v>
      </c>
      <c r="G19" s="58" t="n">
        <v>59.81</v>
      </c>
      <c r="H19" s="60" t="n">
        <v>19.5</v>
      </c>
      <c r="I19" s="58">
        <f>IF(D19="","",B19*D19/100)</f>
        <v/>
      </c>
      <c r="J19" s="56" t="n">
        <v>9</v>
      </c>
      <c r="K19" s="68" t="n">
        <v>1679</v>
      </c>
      <c r="L19" s="56" t="n">
        <v>30</v>
      </c>
      <c r="M19" s="56" t="n">
        <v>80</v>
      </c>
      <c r="N19" s="58">
        <f>AVERAGEIFS($B$4:$B$147,$A$4:$A$147,"&gt;"&amp;$A19-7,$A$4:$A$147,"&lt;="&amp;$A19)</f>
        <v/>
      </c>
      <c r="O19" s="58">
        <f>AVERAGEIFS($D$4:$D$147,$A$4:$A$147,"&gt;"&amp;$A19-7,$A$4:$A$147,"&lt;="&amp;$A19)</f>
        <v/>
      </c>
      <c r="P19" s="58">
        <f>AVERAGEIFS($G$4:$G$147,$A$4:$A$147,"&gt;"&amp;$A19-7,$A$4:$A$147,"&lt;="&amp;$A19)</f>
        <v/>
      </c>
      <c r="Q19" s="55">
        <f>INT(A19)</f>
        <v/>
      </c>
      <c r="R19" s="69" t="n">
        <v>46043.32986111111</v>
      </c>
    </row>
    <row r="20">
      <c r="A20" s="67" t="n">
        <v>46043.33194444444</v>
      </c>
      <c r="B20" s="58" t="n">
        <v>82.59</v>
      </c>
      <c r="C20" s="58" t="n">
        <v>26.065448</v>
      </c>
      <c r="D20" s="60" t="n">
        <v>24.2</v>
      </c>
      <c r="E20" s="60" t="n">
        <v>53</v>
      </c>
      <c r="F20" s="58" t="n">
        <v>3.1</v>
      </c>
      <c r="G20" s="58" t="n">
        <v>59.81</v>
      </c>
      <c r="H20" s="60" t="n">
        <v>19.5</v>
      </c>
      <c r="I20" s="58">
        <f>IF(D20="","",B20*D20/100)</f>
        <v/>
      </c>
      <c r="J20" s="56" t="n">
        <v>9</v>
      </c>
      <c r="K20" s="68" t="n">
        <v>1679</v>
      </c>
      <c r="L20" s="56" t="n">
        <v>30</v>
      </c>
      <c r="M20" s="56" t="n">
        <v>80</v>
      </c>
      <c r="N20" s="58">
        <f>AVERAGEIFS($B$4:$B$147,$A$4:$A$147,"&gt;"&amp;$A20-7,$A$4:$A$147,"&lt;="&amp;$A20)</f>
        <v/>
      </c>
      <c r="O20" s="58">
        <f>AVERAGEIFS($D$4:$D$147,$A$4:$A$147,"&gt;"&amp;$A20-7,$A$4:$A$147,"&lt;="&amp;$A20)</f>
        <v/>
      </c>
      <c r="P20" s="58">
        <f>AVERAGEIFS($G$4:$G$147,$A$4:$A$147,"&gt;"&amp;$A20-7,$A$4:$A$147,"&lt;="&amp;$A20)</f>
        <v/>
      </c>
      <c r="Q20" s="55">
        <f>INT(A20)</f>
        <v/>
      </c>
      <c r="R20" s="69" t="n">
        <v>46043.33194444444</v>
      </c>
    </row>
    <row r="21">
      <c r="A21" s="67" t="n">
        <v>46044.30138888889</v>
      </c>
      <c r="B21" s="58" t="n">
        <v>83.11</v>
      </c>
      <c r="C21" s="58" t="n">
        <v>26.232471</v>
      </c>
      <c r="D21" s="60" t="n">
        <v>24.5</v>
      </c>
      <c r="E21" s="60" t="n">
        <v>52.8</v>
      </c>
      <c r="F21" s="58" t="n">
        <v>3.1</v>
      </c>
      <c r="G21" s="58" t="n">
        <v>59.55</v>
      </c>
      <c r="H21" s="60" t="n">
        <v>19.5</v>
      </c>
      <c r="I21" s="58">
        <f>IF(D21="","",B21*D21/100)</f>
        <v/>
      </c>
      <c r="J21" s="56" t="n">
        <v>9</v>
      </c>
      <c r="K21" s="68" t="n">
        <v>1678</v>
      </c>
      <c r="L21" s="56" t="n">
        <v>30</v>
      </c>
      <c r="M21" s="56" t="n">
        <v>80</v>
      </c>
      <c r="N21" s="58">
        <f>AVERAGEIFS($B$4:$B$147,$A$4:$A$147,"&gt;"&amp;$A21-7,$A$4:$A$147,"&lt;="&amp;$A21)</f>
        <v/>
      </c>
      <c r="O21" s="58">
        <f>AVERAGEIFS($D$4:$D$147,$A$4:$A$147,"&gt;"&amp;$A21-7,$A$4:$A$147,"&lt;="&amp;$A21)</f>
        <v/>
      </c>
      <c r="P21" s="58">
        <f>AVERAGEIFS($G$4:$G$147,$A$4:$A$147,"&gt;"&amp;$A21-7,$A$4:$A$147,"&lt;="&amp;$A21)</f>
        <v/>
      </c>
      <c r="Q21" s="55">
        <f>INT(A21)</f>
        <v/>
      </c>
      <c r="R21" s="69" t="n">
        <v>46044.30138888889</v>
      </c>
    </row>
    <row r="22">
      <c r="A22" s="67" t="n">
        <v>46045.30138888889</v>
      </c>
      <c r="B22" s="58" t="n">
        <v>83.77</v>
      </c>
      <c r="C22" s="58" t="n">
        <v>26.439693</v>
      </c>
      <c r="D22" s="60" t="n">
        <v>24.4</v>
      </c>
      <c r="E22" s="60" t="n">
        <v>52.9</v>
      </c>
      <c r="F22" s="58" t="n">
        <v>3.1</v>
      </c>
      <c r="G22" s="58" t="n">
        <v>59.51</v>
      </c>
      <c r="H22" s="60" t="n">
        <v>19.5</v>
      </c>
      <c r="I22" s="58">
        <f>IF(D22="","",B22*D22/100)</f>
        <v/>
      </c>
      <c r="J22" s="56" t="n">
        <v>9</v>
      </c>
      <c r="K22" s="68" t="n">
        <v>1678</v>
      </c>
      <c r="L22" s="56" t="n">
        <v>30</v>
      </c>
      <c r="M22" s="56" t="n">
        <v>80</v>
      </c>
      <c r="N22" s="58">
        <f>AVERAGEIFS($B$4:$B$147,$A$4:$A$147,"&gt;"&amp;$A22-7,$A$4:$A$147,"&lt;="&amp;$A22)</f>
        <v/>
      </c>
      <c r="O22" s="58">
        <f>AVERAGEIFS($D$4:$D$147,$A$4:$A$147,"&gt;"&amp;$A22-7,$A$4:$A$147,"&lt;="&amp;$A22)</f>
        <v/>
      </c>
      <c r="P22" s="58">
        <f>AVERAGEIFS($G$4:$G$147,$A$4:$A$147,"&gt;"&amp;$A22-7,$A$4:$A$147,"&lt;="&amp;$A22)</f>
        <v/>
      </c>
      <c r="Q22" s="55">
        <f>INT(A22)</f>
        <v/>
      </c>
      <c r="R22" s="69" t="n">
        <v>46045.30138888889</v>
      </c>
    </row>
    <row r="23">
      <c r="A23" s="67" t="n">
        <v>46046.44027777778</v>
      </c>
      <c r="B23" s="58" t="n">
        <v>83.33</v>
      </c>
      <c r="C23" s="58" t="n">
        <v>26.299131</v>
      </c>
      <c r="D23" s="60" t="n">
        <v>24</v>
      </c>
      <c r="E23" s="60" t="n">
        <v>53.2</v>
      </c>
      <c r="F23" s="58" t="n">
        <v>3.1</v>
      </c>
      <c r="G23" s="58" t="n">
        <v>59.66</v>
      </c>
      <c r="H23" s="60" t="n">
        <v>19.5</v>
      </c>
      <c r="I23" s="58">
        <f>IF(D23="","",B23*D23/100)</f>
        <v/>
      </c>
      <c r="J23" s="56" t="n">
        <v>9</v>
      </c>
      <c r="K23" s="68" t="n">
        <v>1678</v>
      </c>
      <c r="L23" s="56" t="n">
        <v>30</v>
      </c>
      <c r="M23" s="56" t="n">
        <v>80</v>
      </c>
      <c r="N23" s="58">
        <f>AVERAGEIFS($B$4:$B$147,$A$4:$A$147,"&gt;"&amp;$A23-7,$A$4:$A$147,"&lt;="&amp;$A23)</f>
        <v/>
      </c>
      <c r="O23" s="58">
        <f>AVERAGEIFS($D$4:$D$147,$A$4:$A$147,"&gt;"&amp;$A23-7,$A$4:$A$147,"&lt;="&amp;$A23)</f>
        <v/>
      </c>
      <c r="P23" s="58">
        <f>AVERAGEIFS($G$4:$G$147,$A$4:$A$147,"&gt;"&amp;$A23-7,$A$4:$A$147,"&lt;="&amp;$A23)</f>
        <v/>
      </c>
      <c r="Q23" s="55">
        <f>INT(A23)</f>
        <v/>
      </c>
      <c r="R23" s="69" t="n">
        <v>46046.44027777778</v>
      </c>
    </row>
    <row r="24">
      <c r="A24" s="67" t="n">
        <v>46047.44722222222</v>
      </c>
      <c r="B24" s="58" t="n">
        <v>83.56</v>
      </c>
      <c r="C24" s="58" t="n">
        <v>26.373936</v>
      </c>
      <c r="D24" s="60" t="n">
        <v>23.5</v>
      </c>
      <c r="E24" s="60" t="n">
        <v>53.5</v>
      </c>
      <c r="F24" s="58" t="n">
        <v>3.1</v>
      </c>
      <c r="G24" s="58" t="n">
        <v>59.19</v>
      </c>
      <c r="H24" s="60" t="n">
        <v>19.5</v>
      </c>
      <c r="I24" s="58">
        <f>IF(D24="","",B24*D24/100)</f>
        <v/>
      </c>
      <c r="J24" s="56" t="n">
        <v>9</v>
      </c>
      <c r="K24" s="68" t="n">
        <v>1677</v>
      </c>
      <c r="L24" s="56" t="n">
        <v>30</v>
      </c>
      <c r="M24" s="56" t="n">
        <v>80</v>
      </c>
      <c r="N24" s="58">
        <f>AVERAGEIFS($B$4:$B$147,$A$4:$A$147,"&gt;"&amp;$A24-7,$A$4:$A$147,"&lt;="&amp;$A24)</f>
        <v/>
      </c>
      <c r="O24" s="58">
        <f>AVERAGEIFS($D$4:$D$147,$A$4:$A$147,"&gt;"&amp;$A24-7,$A$4:$A$147,"&lt;="&amp;$A24)</f>
        <v/>
      </c>
      <c r="P24" s="58">
        <f>AVERAGEIFS($G$4:$G$147,$A$4:$A$147,"&gt;"&amp;$A24-7,$A$4:$A$147,"&lt;="&amp;$A24)</f>
        <v/>
      </c>
      <c r="Q24" s="55">
        <f>INT(A24)</f>
        <v/>
      </c>
      <c r="R24" s="69" t="n">
        <v>46047.44722222222</v>
      </c>
    </row>
    <row r="25">
      <c r="A25" s="67" t="n">
        <v>46048.32986111111</v>
      </c>
      <c r="B25" s="58" t="n">
        <v>82.5</v>
      </c>
      <c r="C25" s="58" t="n">
        <v>26.037875</v>
      </c>
      <c r="D25" s="60" t="n">
        <v>24.4</v>
      </c>
      <c r="E25" s="60" t="n">
        <v>52.9</v>
      </c>
      <c r="F25" s="58" t="n">
        <v>3.1</v>
      </c>
      <c r="G25" s="58" t="n">
        <v>58.91</v>
      </c>
      <c r="H25" s="60" t="n">
        <v>19.5</v>
      </c>
      <c r="I25" s="58">
        <f>IF(D25="","",B25*D25/100)</f>
        <v/>
      </c>
      <c r="J25" s="56" t="n">
        <v>9</v>
      </c>
      <c r="K25" s="68" t="n">
        <v>1676</v>
      </c>
      <c r="L25" s="56" t="n">
        <v>30</v>
      </c>
      <c r="M25" s="56" t="n">
        <v>80</v>
      </c>
      <c r="N25" s="58">
        <f>AVERAGEIFS($B$4:$B$147,$A$4:$A$147,"&gt;"&amp;$A25-7,$A$4:$A$147,"&lt;="&amp;$A25)</f>
        <v/>
      </c>
      <c r="O25" s="58">
        <f>AVERAGEIFS($D$4:$D$147,$A$4:$A$147,"&gt;"&amp;$A25-7,$A$4:$A$147,"&lt;="&amp;$A25)</f>
        <v/>
      </c>
      <c r="P25" s="58">
        <f>AVERAGEIFS($G$4:$G$147,$A$4:$A$147,"&gt;"&amp;$A25-7,$A$4:$A$147,"&lt;="&amp;$A25)</f>
        <v/>
      </c>
      <c r="Q25" s="55">
        <f>INT(A25)</f>
        <v/>
      </c>
      <c r="R25" s="69" t="n">
        <v>46048.32986111111</v>
      </c>
    </row>
    <row r="26">
      <c r="A26" s="67" t="n">
        <v>46049.30902777778</v>
      </c>
      <c r="B26" s="58" t="n">
        <v>82.65000000000001</v>
      </c>
      <c r="C26" s="58" t="n">
        <v>26.084372</v>
      </c>
      <c r="D26" s="60" t="n">
        <v>24.5</v>
      </c>
      <c r="E26" s="60" t="n">
        <v>52.9</v>
      </c>
      <c r="F26" s="58" t="n">
        <v>3.1</v>
      </c>
      <c r="G26" s="58" t="n">
        <v>59.16</v>
      </c>
      <c r="H26" s="60" t="n">
        <v>19.5</v>
      </c>
      <c r="I26" s="58">
        <f>IF(D26="","",B26*D26/100)</f>
        <v/>
      </c>
      <c r="J26" s="56" t="n">
        <v>9</v>
      </c>
      <c r="K26" s="68" t="n">
        <v>1677</v>
      </c>
      <c r="L26" s="56" t="n">
        <v>30</v>
      </c>
      <c r="M26" s="56" t="n">
        <v>80</v>
      </c>
      <c r="N26" s="58">
        <f>AVERAGEIFS($B$4:$B$147,$A$4:$A$147,"&gt;"&amp;$A26-7,$A$4:$A$147,"&lt;="&amp;$A26)</f>
        <v/>
      </c>
      <c r="O26" s="58">
        <f>AVERAGEIFS($D$4:$D$147,$A$4:$A$147,"&gt;"&amp;$A26-7,$A$4:$A$147,"&lt;="&amp;$A26)</f>
        <v/>
      </c>
      <c r="P26" s="58">
        <f>AVERAGEIFS($G$4:$G$147,$A$4:$A$147,"&gt;"&amp;$A26-7,$A$4:$A$147,"&lt;="&amp;$A26)</f>
        <v/>
      </c>
      <c r="Q26" s="55">
        <f>INT(A26)</f>
        <v/>
      </c>
      <c r="R26" s="69" t="n">
        <v>46049.30902777778</v>
      </c>
    </row>
    <row r="27">
      <c r="A27" s="67" t="n">
        <v>46050.30069444444</v>
      </c>
      <c r="B27" s="58" t="n">
        <v>82.92</v>
      </c>
      <c r="C27" s="58" t="n">
        <v>26.171256</v>
      </c>
      <c r="D27" s="60" t="n">
        <v>24</v>
      </c>
      <c r="E27" s="60" t="n">
        <v>53.2</v>
      </c>
      <c r="F27" s="58" t="n">
        <v>3.1</v>
      </c>
      <c r="G27" s="58" t="n">
        <v>59.45</v>
      </c>
      <c r="H27" s="60" t="n">
        <v>19.5</v>
      </c>
      <c r="I27" s="58">
        <f>IF(D27="","",B27*D27/100)</f>
        <v/>
      </c>
      <c r="J27" s="56" t="n">
        <v>9</v>
      </c>
      <c r="K27" s="68" t="n">
        <v>1678</v>
      </c>
      <c r="L27" s="56" t="n">
        <v>30</v>
      </c>
      <c r="M27" s="56" t="n">
        <v>80</v>
      </c>
      <c r="N27" s="58">
        <f>AVERAGEIFS($B$4:$B$147,$A$4:$A$147,"&gt;"&amp;$A27-7,$A$4:$A$147,"&lt;="&amp;$A27)</f>
        <v/>
      </c>
      <c r="O27" s="58">
        <f>AVERAGEIFS($D$4:$D$147,$A$4:$A$147,"&gt;"&amp;$A27-7,$A$4:$A$147,"&lt;="&amp;$A27)</f>
        <v/>
      </c>
      <c r="P27" s="58">
        <f>AVERAGEIFS($G$4:$G$147,$A$4:$A$147,"&gt;"&amp;$A27-7,$A$4:$A$147,"&lt;="&amp;$A27)</f>
        <v/>
      </c>
      <c r="Q27" s="55">
        <f>INT(A27)</f>
        <v/>
      </c>
      <c r="R27" s="69" t="n">
        <v>46050.30069444444</v>
      </c>
    </row>
    <row r="28">
      <c r="A28" s="67" t="n">
        <v>46051.29583333333</v>
      </c>
      <c r="B28" s="58" t="n">
        <v>83.03</v>
      </c>
      <c r="C28" s="58" t="n">
        <v>26.206851</v>
      </c>
      <c r="D28" s="60" t="n">
        <v>24.2</v>
      </c>
      <c r="E28" s="60" t="n">
        <v>53.1</v>
      </c>
      <c r="F28" s="58" t="n">
        <v>3.1</v>
      </c>
      <c r="G28" s="58" t="n">
        <v>59.59</v>
      </c>
      <c r="H28" s="60" t="n">
        <v>19.5</v>
      </c>
      <c r="I28" s="58">
        <f>IF(D28="","",B28*D28/100)</f>
        <v/>
      </c>
      <c r="J28" s="56" t="n">
        <v>9</v>
      </c>
      <c r="K28" s="68" t="n">
        <v>1678</v>
      </c>
      <c r="L28" s="56" t="n">
        <v>30</v>
      </c>
      <c r="M28" s="56" t="n">
        <v>80</v>
      </c>
      <c r="N28" s="58">
        <f>AVERAGEIFS($B$4:$B$147,$A$4:$A$147,"&gt;"&amp;$A28-7,$A$4:$A$147,"&lt;="&amp;$A28)</f>
        <v/>
      </c>
      <c r="O28" s="58">
        <f>AVERAGEIFS($D$4:$D$147,$A$4:$A$147,"&gt;"&amp;$A28-7,$A$4:$A$147,"&lt;="&amp;$A28)</f>
        <v/>
      </c>
      <c r="P28" s="58">
        <f>AVERAGEIFS($G$4:$G$147,$A$4:$A$147,"&gt;"&amp;$A28-7,$A$4:$A$147,"&lt;="&amp;$A28)</f>
        <v/>
      </c>
      <c r="Q28" s="55">
        <f>INT(A28)</f>
        <v/>
      </c>
      <c r="R28" s="69" t="n">
        <v>46051.29583333333</v>
      </c>
    </row>
    <row r="29">
      <c r="A29" s="67" t="n">
        <v>46053.44375</v>
      </c>
      <c r="B29" s="58" t="n">
        <v>82.94</v>
      </c>
      <c r="C29" s="58" t="n">
        <v>26.176637</v>
      </c>
      <c r="D29" s="60" t="n">
        <v>23.7</v>
      </c>
      <c r="E29" s="60" t="n">
        <v>53.4</v>
      </c>
      <c r="F29" s="58" t="n">
        <v>3.1</v>
      </c>
      <c r="G29" s="58" t="n">
        <v>59.64</v>
      </c>
      <c r="H29" s="60" t="n">
        <v>19.5</v>
      </c>
      <c r="I29" s="58">
        <f>IF(D29="","",B29*D29/100)</f>
        <v/>
      </c>
      <c r="J29" s="56" t="n">
        <v>9</v>
      </c>
      <c r="K29" s="68" t="n">
        <v>1678</v>
      </c>
      <c r="L29" s="56" t="n">
        <v>30</v>
      </c>
      <c r="M29" s="56" t="n">
        <v>80</v>
      </c>
      <c r="N29" s="58">
        <f>AVERAGEIFS($B$4:$B$147,$A$4:$A$147,"&gt;"&amp;$A29-7,$A$4:$A$147,"&lt;="&amp;$A29)</f>
        <v/>
      </c>
      <c r="O29" s="58">
        <f>AVERAGEIFS($D$4:$D$147,$A$4:$A$147,"&gt;"&amp;$A29-7,$A$4:$A$147,"&lt;="&amp;$A29)</f>
        <v/>
      </c>
      <c r="P29" s="58">
        <f>AVERAGEIFS($G$4:$G$147,$A$4:$A$147,"&gt;"&amp;$A29-7,$A$4:$A$147,"&lt;="&amp;$A29)</f>
        <v/>
      </c>
      <c r="Q29" s="55">
        <f>INT(A29)</f>
        <v/>
      </c>
      <c r="R29" s="69" t="n">
        <v>46053.44375</v>
      </c>
    </row>
    <row r="30">
      <c r="A30" s="67" t="n">
        <v>46054.44305555556</v>
      </c>
      <c r="B30" s="58" t="n">
        <v>82.58</v>
      </c>
      <c r="C30" s="58" t="n">
        <v>26.062219</v>
      </c>
      <c r="D30" s="60" t="n">
        <v>24.2</v>
      </c>
      <c r="E30" s="60" t="n">
        <v>53</v>
      </c>
      <c r="F30" s="58" t="n">
        <v>3.1</v>
      </c>
      <c r="G30" s="58" t="n">
        <v>59.85</v>
      </c>
      <c r="H30" s="60" t="n">
        <v>19.5</v>
      </c>
      <c r="I30" s="58">
        <f>IF(D30="","",B30*D30/100)</f>
        <v/>
      </c>
      <c r="J30" s="56" t="n">
        <v>9</v>
      </c>
      <c r="K30" s="68" t="n">
        <v>1679</v>
      </c>
      <c r="L30" s="56" t="n">
        <v>30</v>
      </c>
      <c r="M30" s="56" t="n">
        <v>80</v>
      </c>
      <c r="N30" s="58">
        <f>AVERAGEIFS($B$4:$B$147,$A$4:$A$147,"&gt;"&amp;$A30-7,$A$4:$A$147,"&lt;="&amp;$A30)</f>
        <v/>
      </c>
      <c r="O30" s="58">
        <f>AVERAGEIFS($D$4:$D$147,$A$4:$A$147,"&gt;"&amp;$A30-7,$A$4:$A$147,"&lt;="&amp;$A30)</f>
        <v/>
      </c>
      <c r="P30" s="58">
        <f>AVERAGEIFS($G$4:$G$147,$A$4:$A$147,"&gt;"&amp;$A30-7,$A$4:$A$147,"&lt;="&amp;$A30)</f>
        <v/>
      </c>
      <c r="Q30" s="55">
        <f>INT(A30)</f>
        <v/>
      </c>
      <c r="R30" s="69" t="n">
        <v>46054.44305555556</v>
      </c>
    </row>
    <row r="31">
      <c r="A31" s="67" t="n">
        <v>46055.3125</v>
      </c>
      <c r="B31" s="58" t="n">
        <v>81.75</v>
      </c>
      <c r="C31" s="58" t="n">
        <v>25.80136</v>
      </c>
      <c r="D31" s="60" t="n">
        <v>23.9</v>
      </c>
      <c r="E31" s="60" t="n">
        <v>53.2</v>
      </c>
      <c r="F31" s="58" t="n">
        <v>3.1</v>
      </c>
      <c r="G31" s="58" t="n">
        <v>59.51</v>
      </c>
      <c r="H31" s="60" t="n">
        <v>19.5</v>
      </c>
      <c r="I31" s="58">
        <f>IF(D31="","",B31*D31/100)</f>
        <v/>
      </c>
      <c r="J31" s="56" t="n">
        <v>9</v>
      </c>
      <c r="K31" s="68" t="n">
        <v>1678</v>
      </c>
      <c r="L31" s="56" t="n">
        <v>30</v>
      </c>
      <c r="M31" s="56" t="n">
        <v>80</v>
      </c>
      <c r="N31" s="58">
        <f>AVERAGEIFS($B$4:$B$147,$A$4:$A$147,"&gt;"&amp;$A31-7,$A$4:$A$147,"&lt;="&amp;$A31)</f>
        <v/>
      </c>
      <c r="O31" s="58">
        <f>AVERAGEIFS($D$4:$D$147,$A$4:$A$147,"&gt;"&amp;$A31-7,$A$4:$A$147,"&lt;="&amp;$A31)</f>
        <v/>
      </c>
      <c r="P31" s="58">
        <f>AVERAGEIFS($G$4:$G$147,$A$4:$A$147,"&gt;"&amp;$A31-7,$A$4:$A$147,"&lt;="&amp;$A31)</f>
        <v/>
      </c>
      <c r="Q31" s="55">
        <f>INT(A31)</f>
        <v/>
      </c>
      <c r="R31" s="69" t="n">
        <v>46055.3125</v>
      </c>
    </row>
    <row r="32">
      <c r="A32" s="67" t="n">
        <v>46056.32430555556</v>
      </c>
      <c r="B32" s="58" t="n">
        <v>82.54000000000001</v>
      </c>
      <c r="C32" s="58" t="n">
        <v>26.050723</v>
      </c>
      <c r="D32" s="60" t="n">
        <v>24.7</v>
      </c>
      <c r="E32" s="60" t="n">
        <v>52.7</v>
      </c>
      <c r="F32" s="58" t="n">
        <v>3.1</v>
      </c>
      <c r="G32" s="58" t="n">
        <v>59.41</v>
      </c>
      <c r="H32" s="60" t="n">
        <v>19.5</v>
      </c>
      <c r="I32" s="58">
        <f>IF(D32="","",B32*D32/100)</f>
        <v/>
      </c>
      <c r="J32" s="56" t="n">
        <v>9</v>
      </c>
      <c r="K32" s="68" t="n">
        <v>1678</v>
      </c>
      <c r="L32" s="56" t="n">
        <v>30</v>
      </c>
      <c r="M32" s="56" t="n">
        <v>80</v>
      </c>
      <c r="N32" s="58">
        <f>AVERAGEIFS($B$4:$B$147,$A$4:$A$147,"&gt;"&amp;$A32-7,$A$4:$A$147,"&lt;="&amp;$A32)</f>
        <v/>
      </c>
      <c r="O32" s="58">
        <f>AVERAGEIFS($D$4:$D$147,$A$4:$A$147,"&gt;"&amp;$A32-7,$A$4:$A$147,"&lt;="&amp;$A32)</f>
        <v/>
      </c>
      <c r="P32" s="58">
        <f>AVERAGEIFS($G$4:$G$147,$A$4:$A$147,"&gt;"&amp;$A32-7,$A$4:$A$147,"&lt;="&amp;$A32)</f>
        <v/>
      </c>
      <c r="Q32" s="55">
        <f>INT(A32)</f>
        <v/>
      </c>
      <c r="R32" s="69" t="n">
        <v>46056.32430555556</v>
      </c>
    </row>
    <row r="33">
      <c r="A33" s="67" t="n">
        <v>46057.31458333333</v>
      </c>
      <c r="B33" s="58" t="n">
        <v>82.62</v>
      </c>
      <c r="C33" s="58" t="n">
        <v>26.07549</v>
      </c>
      <c r="D33" s="60" t="n">
        <v>23.6</v>
      </c>
      <c r="E33" s="60" t="n">
        <v>53.5</v>
      </c>
      <c r="F33" s="58" t="n">
        <v>3.1</v>
      </c>
      <c r="G33" s="58" t="n">
        <v>59.67</v>
      </c>
      <c r="H33" s="60" t="n">
        <v>19.5</v>
      </c>
      <c r="I33" s="58">
        <f>IF(D33="","",B33*D33/100)</f>
        <v/>
      </c>
      <c r="J33" s="56" t="n">
        <v>9</v>
      </c>
      <c r="K33" s="68" t="n">
        <v>1679</v>
      </c>
      <c r="L33" s="56" t="n">
        <v>30</v>
      </c>
      <c r="M33" s="56" t="n">
        <v>80</v>
      </c>
      <c r="N33" s="58">
        <f>AVERAGEIFS($B$4:$B$147,$A$4:$A$147,"&gt;"&amp;$A33-7,$A$4:$A$147,"&lt;="&amp;$A33)</f>
        <v/>
      </c>
      <c r="O33" s="58">
        <f>AVERAGEIFS($D$4:$D$147,$A$4:$A$147,"&gt;"&amp;$A33-7,$A$4:$A$147,"&lt;="&amp;$A33)</f>
        <v/>
      </c>
      <c r="P33" s="58">
        <f>AVERAGEIFS($G$4:$G$147,$A$4:$A$147,"&gt;"&amp;$A33-7,$A$4:$A$147,"&lt;="&amp;$A33)</f>
        <v/>
      </c>
      <c r="Q33" s="55">
        <f>INT(A33)</f>
        <v/>
      </c>
      <c r="R33" s="69" t="n">
        <v>46057.31458333333</v>
      </c>
    </row>
    <row r="34">
      <c r="A34" s="67" t="n">
        <v>46058.325</v>
      </c>
      <c r="B34" s="58" t="n">
        <v>81.55</v>
      </c>
      <c r="C34" s="58" t="n">
        <v>25.739123</v>
      </c>
      <c r="D34" s="60" t="n">
        <v>23.7</v>
      </c>
      <c r="E34" s="60" t="n">
        <v>53.4</v>
      </c>
      <c r="F34" s="58" t="n">
        <v>3.1</v>
      </c>
      <c r="G34" s="58" t="n">
        <v>59.62</v>
      </c>
      <c r="H34" s="60" t="n">
        <v>19.5</v>
      </c>
      <c r="I34" s="58">
        <f>IF(D34="","",B34*D34/100)</f>
        <v/>
      </c>
      <c r="J34" s="56" t="n">
        <v>9</v>
      </c>
      <c r="K34" s="68" t="n">
        <v>1678</v>
      </c>
      <c r="L34" s="56" t="n">
        <v>30</v>
      </c>
      <c r="M34" s="56" t="n">
        <v>80</v>
      </c>
      <c r="N34" s="58">
        <f>AVERAGEIFS($B$4:$B$147,$A$4:$A$147,"&gt;"&amp;$A34-7,$A$4:$A$147,"&lt;="&amp;$A34)</f>
        <v/>
      </c>
      <c r="O34" s="58">
        <f>AVERAGEIFS($D$4:$D$147,$A$4:$A$147,"&gt;"&amp;$A34-7,$A$4:$A$147,"&lt;="&amp;$A34)</f>
        <v/>
      </c>
      <c r="P34" s="58">
        <f>AVERAGEIFS($G$4:$G$147,$A$4:$A$147,"&gt;"&amp;$A34-7,$A$4:$A$147,"&lt;="&amp;$A34)</f>
        <v/>
      </c>
      <c r="Q34" s="55">
        <f>INT(A34)</f>
        <v/>
      </c>
      <c r="R34" s="69" t="n">
        <v>46058.325</v>
      </c>
    </row>
    <row r="35">
      <c r="A35" s="67" t="n">
        <v>46059.30763888889</v>
      </c>
      <c r="B35" s="58" t="n">
        <v>82.05</v>
      </c>
      <c r="C35" s="58" t="n">
        <v>25.896668</v>
      </c>
      <c r="D35" s="60" t="n">
        <v>24.2</v>
      </c>
      <c r="E35" s="60" t="n">
        <v>53</v>
      </c>
      <c r="F35" s="58" t="n">
        <v>3.1</v>
      </c>
      <c r="G35" s="58" t="n">
        <v>59.24</v>
      </c>
      <c r="H35" s="60" t="n">
        <v>19.5</v>
      </c>
      <c r="I35" s="58">
        <f>IF(D35="","",B35*D35/100)</f>
        <v/>
      </c>
      <c r="J35" s="56" t="n">
        <v>9</v>
      </c>
      <c r="K35" s="68" t="n">
        <v>1677</v>
      </c>
      <c r="L35" s="56" t="n">
        <v>30</v>
      </c>
      <c r="M35" s="56" t="n">
        <v>80</v>
      </c>
      <c r="N35" s="58">
        <f>AVERAGEIFS($B$4:$B$147,$A$4:$A$147,"&gt;"&amp;$A35-7,$A$4:$A$147,"&lt;="&amp;$A35)</f>
        <v/>
      </c>
      <c r="O35" s="58">
        <f>AVERAGEIFS($D$4:$D$147,$A$4:$A$147,"&gt;"&amp;$A35-7,$A$4:$A$147,"&lt;="&amp;$A35)</f>
        <v/>
      </c>
      <c r="P35" s="58">
        <f>AVERAGEIFS($G$4:$G$147,$A$4:$A$147,"&gt;"&amp;$A35-7,$A$4:$A$147,"&lt;="&amp;$A35)</f>
        <v/>
      </c>
      <c r="Q35" s="55">
        <f>INT(A35)</f>
        <v/>
      </c>
      <c r="R35" s="69" t="n">
        <v>46059.30763888889</v>
      </c>
    </row>
    <row r="36">
      <c r="A36" s="67" t="n">
        <v>46060.44027777778</v>
      </c>
      <c r="B36" s="58" t="n">
        <v>82.47</v>
      </c>
      <c r="C36" s="58" t="n">
        <v>26.028962</v>
      </c>
      <c r="D36" s="60" t="n">
        <v>23.5</v>
      </c>
      <c r="E36" s="60" t="n">
        <v>53.5</v>
      </c>
      <c r="F36" s="58" t="n">
        <v>3.1</v>
      </c>
      <c r="G36" s="58" t="n">
        <v>59.44</v>
      </c>
      <c r="H36" s="60" t="n">
        <v>19.5</v>
      </c>
      <c r="I36" s="58">
        <f>IF(D36="","",B36*D36/100)</f>
        <v/>
      </c>
      <c r="J36" s="56" t="n">
        <v>9</v>
      </c>
      <c r="K36" s="68" t="n">
        <v>1678</v>
      </c>
      <c r="L36" s="56" t="n">
        <v>30</v>
      </c>
      <c r="M36" s="56" t="n">
        <v>80</v>
      </c>
      <c r="N36" s="58">
        <f>AVERAGEIFS($B$4:$B$147,$A$4:$A$147,"&gt;"&amp;$A36-7,$A$4:$A$147,"&lt;="&amp;$A36)</f>
        <v/>
      </c>
      <c r="O36" s="58">
        <f>AVERAGEIFS($D$4:$D$147,$A$4:$A$147,"&gt;"&amp;$A36-7,$A$4:$A$147,"&lt;="&amp;$A36)</f>
        <v/>
      </c>
      <c r="P36" s="58">
        <f>AVERAGEIFS($G$4:$G$147,$A$4:$A$147,"&gt;"&amp;$A36-7,$A$4:$A$147,"&lt;="&amp;$A36)</f>
        <v/>
      </c>
      <c r="Q36" s="55">
        <f>INT(A36)</f>
        <v/>
      </c>
      <c r="R36" s="69" t="n">
        <v>46060.44027777778</v>
      </c>
    </row>
    <row r="37">
      <c r="A37" s="67" t="n">
        <v>46061.45416666667</v>
      </c>
      <c r="B37" s="58" t="n">
        <v>83</v>
      </c>
      <c r="C37" s="58" t="n">
        <v>26.195215</v>
      </c>
      <c r="D37" s="60" t="n">
        <v>23.9</v>
      </c>
      <c r="E37" s="60" t="n">
        <v>53.2</v>
      </c>
      <c r="F37" s="58" t="n">
        <v>3.1</v>
      </c>
      <c r="G37" s="58" t="n">
        <v>59.53</v>
      </c>
      <c r="H37" s="60" t="n">
        <v>19.5</v>
      </c>
      <c r="I37" s="58">
        <f>IF(D37="","",B37*D37/100)</f>
        <v/>
      </c>
      <c r="J37" s="56" t="n">
        <v>9</v>
      </c>
      <c r="K37" s="68" t="n">
        <v>1678</v>
      </c>
      <c r="L37" s="56" t="n">
        <v>30</v>
      </c>
      <c r="M37" s="56" t="n">
        <v>80</v>
      </c>
      <c r="N37" s="58">
        <f>AVERAGEIFS($B$4:$B$147,$A$4:$A$147,"&gt;"&amp;$A37-7,$A$4:$A$147,"&lt;="&amp;$A37)</f>
        <v/>
      </c>
      <c r="O37" s="58">
        <f>AVERAGEIFS($D$4:$D$147,$A$4:$A$147,"&gt;"&amp;$A37-7,$A$4:$A$147,"&lt;="&amp;$A37)</f>
        <v/>
      </c>
      <c r="P37" s="58">
        <f>AVERAGEIFS($G$4:$G$147,$A$4:$A$147,"&gt;"&amp;$A37-7,$A$4:$A$147,"&lt;="&amp;$A37)</f>
        <v/>
      </c>
      <c r="Q37" s="55">
        <f>INT(A37)</f>
        <v/>
      </c>
      <c r="R37" s="69" t="n">
        <v>46061.45416666667</v>
      </c>
    </row>
    <row r="38">
      <c r="A38" s="67" t="n">
        <v>46062.32708333333</v>
      </c>
      <c r="B38" s="58" t="n">
        <v>82.38</v>
      </c>
      <c r="C38" s="58" t="n">
        <v>26.000994</v>
      </c>
      <c r="D38" s="60" t="n">
        <v>24.3</v>
      </c>
      <c r="E38" s="60" t="n">
        <v>53</v>
      </c>
      <c r="F38" s="58" t="n">
        <v>3.1</v>
      </c>
      <c r="G38" s="58" t="n">
        <v>59.32</v>
      </c>
      <c r="H38" s="60" t="n">
        <v>19.5</v>
      </c>
      <c r="I38" s="58">
        <f>IF(D38="","",B38*D38/100)</f>
        <v/>
      </c>
      <c r="J38" s="56" t="n">
        <v>9</v>
      </c>
      <c r="K38" s="68" t="n">
        <v>1677</v>
      </c>
      <c r="L38" s="56" t="n">
        <v>30</v>
      </c>
      <c r="M38" s="56" t="n">
        <v>80</v>
      </c>
      <c r="N38" s="58">
        <f>AVERAGEIFS($B$4:$B$147,$A$4:$A$147,"&gt;"&amp;$A38-7,$A$4:$A$147,"&lt;="&amp;$A38)</f>
        <v/>
      </c>
      <c r="O38" s="58">
        <f>AVERAGEIFS($D$4:$D$147,$A$4:$A$147,"&gt;"&amp;$A38-7,$A$4:$A$147,"&lt;="&amp;$A38)</f>
        <v/>
      </c>
      <c r="P38" s="58">
        <f>AVERAGEIFS($G$4:$G$147,$A$4:$A$147,"&gt;"&amp;$A38-7,$A$4:$A$147,"&lt;="&amp;$A38)</f>
        <v/>
      </c>
      <c r="Q38" s="55">
        <f>INT(A38)</f>
        <v/>
      </c>
      <c r="R38" s="69" t="n">
        <v>46062.32708333333</v>
      </c>
    </row>
    <row r="39">
      <c r="A39" s="67" t="n">
        <v>46064.30277777778</v>
      </c>
      <c r="B39" s="58" t="n">
        <v>82.29000000000001</v>
      </c>
      <c r="C39" s="58" t="n">
        <v>25.973221</v>
      </c>
      <c r="D39" s="60" t="n">
        <v>23.9</v>
      </c>
      <c r="E39" s="60" t="n">
        <v>53.3</v>
      </c>
      <c r="F39" s="58" t="n">
        <v>3.1</v>
      </c>
      <c r="G39" s="58" t="n">
        <v>59.67</v>
      </c>
      <c r="H39" s="60" t="n">
        <v>19.5</v>
      </c>
      <c r="I39" s="58">
        <f>IF(D39="","",B39*D39/100)</f>
        <v/>
      </c>
      <c r="J39" s="56" t="n">
        <v>9</v>
      </c>
      <c r="K39" s="68" t="n">
        <v>1679</v>
      </c>
      <c r="L39" s="56" t="n">
        <v>30</v>
      </c>
      <c r="M39" s="56" t="n">
        <v>80</v>
      </c>
      <c r="N39" s="58">
        <f>AVERAGEIFS($B$4:$B$147,$A$4:$A$147,"&gt;"&amp;$A39-7,$A$4:$A$147,"&lt;="&amp;$A39)</f>
        <v/>
      </c>
      <c r="O39" s="58">
        <f>AVERAGEIFS($D$4:$D$147,$A$4:$A$147,"&gt;"&amp;$A39-7,$A$4:$A$147,"&lt;="&amp;$A39)</f>
        <v/>
      </c>
      <c r="P39" s="58">
        <f>AVERAGEIFS($G$4:$G$147,$A$4:$A$147,"&gt;"&amp;$A39-7,$A$4:$A$147,"&lt;="&amp;$A39)</f>
        <v/>
      </c>
      <c r="Q39" s="55">
        <f>INT(A39)</f>
        <v/>
      </c>
      <c r="R39" s="69" t="n">
        <v>46064.30277777778</v>
      </c>
    </row>
    <row r="40">
      <c r="A40" s="67" t="n">
        <v>46065.32708333333</v>
      </c>
      <c r="B40" s="58" t="n">
        <v>83.14</v>
      </c>
      <c r="C40" s="58" t="n">
        <v>26.240646</v>
      </c>
      <c r="D40" s="60" t="n">
        <v>23.2</v>
      </c>
      <c r="E40" s="60" t="n">
        <v>53.7</v>
      </c>
      <c r="F40" s="58" t="n">
        <v>3.1</v>
      </c>
      <c r="G40" s="58" t="n">
        <v>59.57</v>
      </c>
      <c r="H40" s="60" t="n">
        <v>19.5</v>
      </c>
      <c r="I40" s="58">
        <f>IF(D40="","",B40*D40/100)</f>
        <v/>
      </c>
      <c r="J40" s="56" t="n">
        <v>9</v>
      </c>
      <c r="K40" s="68" t="n">
        <v>1678</v>
      </c>
      <c r="L40" s="56" t="n">
        <v>30</v>
      </c>
      <c r="M40" s="56" t="n">
        <v>80</v>
      </c>
      <c r="N40" s="58">
        <f>AVERAGEIFS($B$4:$B$147,$A$4:$A$147,"&gt;"&amp;$A40-7,$A$4:$A$147,"&lt;="&amp;$A40)</f>
        <v/>
      </c>
      <c r="O40" s="58">
        <f>AVERAGEIFS($D$4:$D$147,$A$4:$A$147,"&gt;"&amp;$A40-7,$A$4:$A$147,"&lt;="&amp;$A40)</f>
        <v/>
      </c>
      <c r="P40" s="58">
        <f>AVERAGEIFS($G$4:$G$147,$A$4:$A$147,"&gt;"&amp;$A40-7,$A$4:$A$147,"&lt;="&amp;$A40)</f>
        <v/>
      </c>
      <c r="Q40" s="55">
        <f>INT(A40)</f>
        <v/>
      </c>
      <c r="R40" s="69" t="n">
        <v>46065.32708333333</v>
      </c>
    </row>
    <row r="41">
      <c r="A41" s="67" t="n">
        <v>46066.30138888889</v>
      </c>
      <c r="B41" s="58" t="n">
        <v>82.04000000000001</v>
      </c>
      <c r="C41" s="58" t="n">
        <v>25.8933</v>
      </c>
      <c r="D41" s="60" t="n">
        <v>23.3</v>
      </c>
      <c r="E41" s="60" t="n">
        <v>53.7</v>
      </c>
      <c r="F41" s="58" t="n">
        <v>3.1</v>
      </c>
      <c r="G41" s="58" t="n">
        <v>59.38</v>
      </c>
      <c r="H41" s="60" t="n">
        <v>19.5</v>
      </c>
      <c r="I41" s="58">
        <f>IF(D41="","",B41*D41/100)</f>
        <v/>
      </c>
      <c r="J41" s="56" t="n">
        <v>9</v>
      </c>
      <c r="K41" s="68" t="n">
        <v>1678</v>
      </c>
      <c r="L41" s="56" t="n">
        <v>30</v>
      </c>
      <c r="M41" s="56" t="n">
        <v>80</v>
      </c>
      <c r="N41" s="58">
        <f>AVERAGEIFS($B$4:$B$147,$A$4:$A$147,"&gt;"&amp;$A41-7,$A$4:$A$147,"&lt;="&amp;$A41)</f>
        <v/>
      </c>
      <c r="O41" s="58">
        <f>AVERAGEIFS($D$4:$D$147,$A$4:$A$147,"&gt;"&amp;$A41-7,$A$4:$A$147,"&lt;="&amp;$A41)</f>
        <v/>
      </c>
      <c r="P41" s="58">
        <f>AVERAGEIFS($G$4:$G$147,$A$4:$A$147,"&gt;"&amp;$A41-7,$A$4:$A$147,"&lt;="&amp;$A41)</f>
        <v/>
      </c>
      <c r="Q41" s="55">
        <f>INT(A41)</f>
        <v/>
      </c>
      <c r="R41" s="69" t="n">
        <v>46066.30138888889</v>
      </c>
    </row>
    <row r="42">
      <c r="A42" s="67" t="n">
        <v>46067.45625</v>
      </c>
      <c r="B42" s="58" t="n">
        <v>82.06999999999999</v>
      </c>
      <c r="C42" s="58" t="n">
        <v>25.90267</v>
      </c>
      <c r="D42" s="60" t="n">
        <v>23.6</v>
      </c>
      <c r="E42" s="60" t="n">
        <v>53.5</v>
      </c>
      <c r="F42" s="58" t="n">
        <v>3.1</v>
      </c>
      <c r="G42" s="58" t="n">
        <v>59.53</v>
      </c>
      <c r="H42" s="60" t="n">
        <v>19.5</v>
      </c>
      <c r="I42" s="58">
        <f>IF(D42="","",B42*D42/100)</f>
        <v/>
      </c>
      <c r="J42" s="56" t="n">
        <v>9</v>
      </c>
      <c r="K42" s="68" t="n">
        <v>1678</v>
      </c>
      <c r="L42" s="56" t="n">
        <v>30</v>
      </c>
      <c r="M42" s="56" t="n">
        <v>80</v>
      </c>
      <c r="N42" s="58">
        <f>AVERAGEIFS($B$4:$B$147,$A$4:$A$147,"&gt;"&amp;$A42-7,$A$4:$A$147,"&lt;="&amp;$A42)</f>
        <v/>
      </c>
      <c r="O42" s="58">
        <f>AVERAGEIFS($D$4:$D$147,$A$4:$A$147,"&gt;"&amp;$A42-7,$A$4:$A$147,"&lt;="&amp;$A42)</f>
        <v/>
      </c>
      <c r="P42" s="58">
        <f>AVERAGEIFS($G$4:$G$147,$A$4:$A$147,"&gt;"&amp;$A42-7,$A$4:$A$147,"&lt;="&amp;$A42)</f>
        <v/>
      </c>
      <c r="Q42" s="55">
        <f>INT(A42)</f>
        <v/>
      </c>
      <c r="R42" s="69" t="n">
        <v>46067.45625</v>
      </c>
    </row>
    <row r="43">
      <c r="A43" s="67" t="n">
        <v>46068.45347222222</v>
      </c>
      <c r="B43" s="58" t="n">
        <v>81.87</v>
      </c>
      <c r="C43" s="58" t="n">
        <v>25.838412</v>
      </c>
      <c r="D43" s="60" t="n">
        <v>23.1</v>
      </c>
      <c r="E43" s="60" t="n">
        <v>53.8</v>
      </c>
      <c r="F43" s="58" t="n">
        <v>3.1</v>
      </c>
      <c r="G43" s="58" t="n">
        <v>58.87</v>
      </c>
      <c r="H43" s="60" t="n">
        <v>19.5</v>
      </c>
      <c r="I43" s="58">
        <f>IF(D43="","",B43*D43/100)</f>
        <v/>
      </c>
      <c r="J43" s="56" t="n">
        <v>9</v>
      </c>
      <c r="K43" s="68" t="n">
        <v>1676</v>
      </c>
      <c r="L43" s="56" t="n">
        <v>30</v>
      </c>
      <c r="M43" s="56" t="n">
        <v>80</v>
      </c>
      <c r="N43" s="58">
        <f>AVERAGEIFS($B$4:$B$147,$A$4:$A$147,"&gt;"&amp;$A43-7,$A$4:$A$147,"&lt;="&amp;$A43)</f>
        <v/>
      </c>
      <c r="O43" s="58">
        <f>AVERAGEIFS($D$4:$D$147,$A$4:$A$147,"&gt;"&amp;$A43-7,$A$4:$A$147,"&lt;="&amp;$A43)</f>
        <v/>
      </c>
      <c r="P43" s="58">
        <f>AVERAGEIFS($G$4:$G$147,$A$4:$A$147,"&gt;"&amp;$A43-7,$A$4:$A$147,"&lt;="&amp;$A43)</f>
        <v/>
      </c>
      <c r="Q43" s="55">
        <f>INT(A43)</f>
        <v/>
      </c>
      <c r="R43" s="69" t="n">
        <v>46068.45347222222</v>
      </c>
    </row>
    <row r="44">
      <c r="A44" s="67" t="n">
        <v>46069.325</v>
      </c>
      <c r="B44" s="58" t="n">
        <v>82.22</v>
      </c>
      <c r="C44" s="58" t="n">
        <v>25.950985</v>
      </c>
      <c r="D44" s="60" t="n">
        <v>24.4</v>
      </c>
      <c r="E44" s="60" t="n">
        <v>52.9</v>
      </c>
      <c r="F44" s="58" t="n">
        <v>3.1</v>
      </c>
      <c r="G44" s="58" t="n">
        <v>59</v>
      </c>
      <c r="H44" s="60" t="n">
        <v>19.5</v>
      </c>
      <c r="I44" s="58">
        <f>IF(D44="","",B44*D44/100)</f>
        <v/>
      </c>
      <c r="J44" s="56" t="n">
        <v>9</v>
      </c>
      <c r="K44" s="68" t="n">
        <v>1677</v>
      </c>
      <c r="L44" s="56" t="n">
        <v>30</v>
      </c>
      <c r="M44" s="56" t="n">
        <v>80</v>
      </c>
      <c r="N44" s="58">
        <f>AVERAGEIFS($B$4:$B$147,$A$4:$A$147,"&gt;"&amp;$A44-7,$A$4:$A$147,"&lt;="&amp;$A44)</f>
        <v/>
      </c>
      <c r="O44" s="58">
        <f>AVERAGEIFS($D$4:$D$147,$A$4:$A$147,"&gt;"&amp;$A44-7,$A$4:$A$147,"&lt;="&amp;$A44)</f>
        <v/>
      </c>
      <c r="P44" s="58">
        <f>AVERAGEIFS($G$4:$G$147,$A$4:$A$147,"&gt;"&amp;$A44-7,$A$4:$A$147,"&lt;="&amp;$A44)</f>
        <v/>
      </c>
      <c r="Q44" s="55">
        <f>INT(A44)</f>
        <v/>
      </c>
      <c r="R44" s="69" t="n">
        <v>46069.325</v>
      </c>
    </row>
    <row r="45">
      <c r="A45" s="67" t="n">
        <v>46070.32361111111</v>
      </c>
      <c r="B45" s="58" t="n">
        <v>82.15000000000001</v>
      </c>
      <c r="C45" s="58" t="n">
        <v>25.927068</v>
      </c>
      <c r="D45" s="60" t="n">
        <v>23.2</v>
      </c>
      <c r="E45" s="60" t="n">
        <v>53.8</v>
      </c>
      <c r="F45" s="58" t="n">
        <v>3.1</v>
      </c>
      <c r="G45" s="58" t="n">
        <v>59.48</v>
      </c>
      <c r="H45" s="60" t="n">
        <v>19.5</v>
      </c>
      <c r="I45" s="58">
        <f>IF(D45="","",B45*D45/100)</f>
        <v/>
      </c>
      <c r="J45" s="56" t="n">
        <v>9</v>
      </c>
      <c r="K45" s="68" t="n">
        <v>1678</v>
      </c>
      <c r="L45" s="56" t="n">
        <v>30</v>
      </c>
      <c r="M45" s="56" t="n">
        <v>80</v>
      </c>
      <c r="N45" s="58">
        <f>AVERAGEIFS($B$4:$B$147,$A$4:$A$147,"&gt;"&amp;$A45-7,$A$4:$A$147,"&lt;="&amp;$A45)</f>
        <v/>
      </c>
      <c r="O45" s="58">
        <f>AVERAGEIFS($D$4:$D$147,$A$4:$A$147,"&gt;"&amp;$A45-7,$A$4:$A$147,"&lt;="&amp;$A45)</f>
        <v/>
      </c>
      <c r="P45" s="58">
        <f>AVERAGEIFS($G$4:$G$147,$A$4:$A$147,"&gt;"&amp;$A45-7,$A$4:$A$147,"&lt;="&amp;$A45)</f>
        <v/>
      </c>
      <c r="Q45" s="55">
        <f>INT(A45)</f>
        <v/>
      </c>
      <c r="R45" s="69" t="n">
        <v>46070.32361111111</v>
      </c>
    </row>
    <row r="46">
      <c r="A46" s="67" t="n">
        <v>46071.32361111111</v>
      </c>
      <c r="B46" s="58" t="n">
        <v>82.5</v>
      </c>
      <c r="C46" s="58" t="n">
        <v>26.037885</v>
      </c>
      <c r="D46" s="60" t="n">
        <v>24.6</v>
      </c>
      <c r="E46" s="60" t="n">
        <v>52.8</v>
      </c>
      <c r="F46" s="58" t="n">
        <v>3.1</v>
      </c>
      <c r="G46" s="58" t="n">
        <v>59.65</v>
      </c>
      <c r="H46" s="60" t="n">
        <v>19.5</v>
      </c>
      <c r="I46" s="58">
        <f>IF(D46="","",B46*D46/100)</f>
        <v/>
      </c>
      <c r="J46" s="56" t="n">
        <v>9</v>
      </c>
      <c r="K46" s="68" t="n">
        <v>1678</v>
      </c>
      <c r="L46" s="56" t="n">
        <v>30</v>
      </c>
      <c r="M46" s="56" t="n">
        <v>80</v>
      </c>
      <c r="N46" s="58">
        <f>AVERAGEIFS($B$4:$B$147,$A$4:$A$147,"&gt;"&amp;$A46-7,$A$4:$A$147,"&lt;="&amp;$A46)</f>
        <v/>
      </c>
      <c r="O46" s="58">
        <f>AVERAGEIFS($D$4:$D$147,$A$4:$A$147,"&gt;"&amp;$A46-7,$A$4:$A$147,"&lt;="&amp;$A46)</f>
        <v/>
      </c>
      <c r="P46" s="58">
        <f>AVERAGEIFS($G$4:$G$147,$A$4:$A$147,"&gt;"&amp;$A46-7,$A$4:$A$147,"&lt;="&amp;$A46)</f>
        <v/>
      </c>
      <c r="Q46" s="55">
        <f>INT(A46)</f>
        <v/>
      </c>
      <c r="R46" s="69" t="n">
        <v>46071.32361111111</v>
      </c>
    </row>
    <row r="47">
      <c r="A47" s="67" t="n">
        <v>46072.32013888889</v>
      </c>
      <c r="B47" s="58" t="n">
        <v>81.93000000000001</v>
      </c>
      <c r="C47" s="58" t="n">
        <v>25.859715</v>
      </c>
      <c r="D47" s="60" t="n">
        <v>23.9</v>
      </c>
      <c r="E47" s="60" t="n">
        <v>53.3</v>
      </c>
      <c r="F47" s="58" t="n">
        <v>3.1</v>
      </c>
      <c r="G47" s="58" t="n">
        <v>59.69</v>
      </c>
      <c r="H47" s="60" t="n">
        <v>19.5</v>
      </c>
      <c r="I47" s="58">
        <f>IF(D47="","",B47*D47/100)</f>
        <v/>
      </c>
      <c r="J47" s="56" t="n">
        <v>9</v>
      </c>
      <c r="K47" s="68" t="n">
        <v>1679</v>
      </c>
      <c r="L47" s="56" t="n">
        <v>30</v>
      </c>
      <c r="M47" s="56" t="n">
        <v>80</v>
      </c>
      <c r="N47" s="58">
        <f>AVERAGEIFS($B$4:$B$147,$A$4:$A$147,"&gt;"&amp;$A47-7,$A$4:$A$147,"&lt;="&amp;$A47)</f>
        <v/>
      </c>
      <c r="O47" s="58">
        <f>AVERAGEIFS($D$4:$D$147,$A$4:$A$147,"&gt;"&amp;$A47-7,$A$4:$A$147,"&lt;="&amp;$A47)</f>
        <v/>
      </c>
      <c r="P47" s="58">
        <f>AVERAGEIFS($G$4:$G$147,$A$4:$A$147,"&gt;"&amp;$A47-7,$A$4:$A$147,"&lt;="&amp;$A47)</f>
        <v/>
      </c>
      <c r="Q47" s="55">
        <f>INT(A47)</f>
        <v/>
      </c>
      <c r="R47" s="69" t="n">
        <v>46072.32013888889</v>
      </c>
    </row>
    <row r="48">
      <c r="A48" s="67" t="n">
        <v>46073.32083333333</v>
      </c>
      <c r="B48" s="58" t="n">
        <v>81.98999999999999</v>
      </c>
      <c r="C48" s="58" t="n">
        <v>25.878968</v>
      </c>
      <c r="D48" s="60" t="n">
        <v>23.3</v>
      </c>
      <c r="E48" s="60" t="n">
        <v>53.7</v>
      </c>
      <c r="F48" s="58" t="n">
        <v>3.1</v>
      </c>
      <c r="G48" s="58" t="n">
        <v>59.26</v>
      </c>
      <c r="H48" s="60" t="n">
        <v>19.5</v>
      </c>
      <c r="I48" s="58">
        <f>IF(D48="","",B48*D48/100)</f>
        <v/>
      </c>
      <c r="J48" s="56" t="n">
        <v>9</v>
      </c>
      <c r="K48" s="68" t="n">
        <v>1677</v>
      </c>
      <c r="L48" s="56" t="n">
        <v>30</v>
      </c>
      <c r="M48" s="56" t="n">
        <v>80</v>
      </c>
      <c r="N48" s="58">
        <f>AVERAGEIFS($B$4:$B$147,$A$4:$A$147,"&gt;"&amp;$A48-7,$A$4:$A$147,"&lt;="&amp;$A48)</f>
        <v/>
      </c>
      <c r="O48" s="58">
        <f>AVERAGEIFS($D$4:$D$147,$A$4:$A$147,"&gt;"&amp;$A48-7,$A$4:$A$147,"&lt;="&amp;$A48)</f>
        <v/>
      </c>
      <c r="P48" s="58">
        <f>AVERAGEIFS($G$4:$G$147,$A$4:$A$147,"&gt;"&amp;$A48-7,$A$4:$A$147,"&lt;="&amp;$A48)</f>
        <v/>
      </c>
      <c r="Q48" s="55">
        <f>INT(A48)</f>
        <v/>
      </c>
      <c r="R48" s="69" t="n">
        <v>46073.32083333333</v>
      </c>
    </row>
    <row r="49">
      <c r="A49" s="67" t="n">
        <v>46074.44861111111</v>
      </c>
      <c r="B49" s="58" t="n">
        <v>81.73999999999999</v>
      </c>
      <c r="C49" s="58" t="n">
        <v>25.797959</v>
      </c>
      <c r="D49" s="60" t="n">
        <v>23.1</v>
      </c>
      <c r="E49" s="60" t="n">
        <v>53.8</v>
      </c>
      <c r="F49" s="58" t="n">
        <v>3.1</v>
      </c>
      <c r="G49" s="58" t="n">
        <v>59.06</v>
      </c>
      <c r="H49" s="60" t="n">
        <v>19.5</v>
      </c>
      <c r="I49" s="58">
        <f>IF(D49="","",B49*D49/100)</f>
        <v/>
      </c>
      <c r="J49" s="56" t="n">
        <v>9</v>
      </c>
      <c r="K49" s="68" t="n">
        <v>1677</v>
      </c>
      <c r="L49" s="56" t="n">
        <v>30</v>
      </c>
      <c r="M49" s="56" t="n">
        <v>80</v>
      </c>
      <c r="N49" s="58">
        <f>AVERAGEIFS($B$4:$B$147,$A$4:$A$147,"&gt;"&amp;$A49-7,$A$4:$A$147,"&lt;="&amp;$A49)</f>
        <v/>
      </c>
      <c r="O49" s="58">
        <f>AVERAGEIFS($D$4:$D$147,$A$4:$A$147,"&gt;"&amp;$A49-7,$A$4:$A$147,"&lt;="&amp;$A49)</f>
        <v/>
      </c>
      <c r="P49" s="58">
        <f>AVERAGEIFS($G$4:$G$147,$A$4:$A$147,"&gt;"&amp;$A49-7,$A$4:$A$147,"&lt;="&amp;$A49)</f>
        <v/>
      </c>
      <c r="Q49" s="55">
        <f>INT(A49)</f>
        <v/>
      </c>
      <c r="R49" s="69" t="n">
        <v>46074.44861111111</v>
      </c>
    </row>
    <row r="50">
      <c r="A50" s="67" t="n">
        <v>46074.45069444444</v>
      </c>
      <c r="B50" s="58" t="n">
        <v>81.64</v>
      </c>
      <c r="C50" s="58" t="n">
        <v>25.766397</v>
      </c>
      <c r="D50" s="60" t="n">
        <v>23.1</v>
      </c>
      <c r="E50" s="60" t="n">
        <v>53.8</v>
      </c>
      <c r="F50" s="58" t="n">
        <v>3.1</v>
      </c>
      <c r="G50" s="58" t="n">
        <v>59.06</v>
      </c>
      <c r="H50" s="60" t="n">
        <v>19.5</v>
      </c>
      <c r="I50" s="58">
        <f>IF(D50="","",B50*D50/100)</f>
        <v/>
      </c>
      <c r="J50" s="56" t="n">
        <v>9</v>
      </c>
      <c r="K50" s="68" t="n">
        <v>1677</v>
      </c>
      <c r="L50" s="56" t="n">
        <v>30</v>
      </c>
      <c r="M50" s="56" t="n">
        <v>80</v>
      </c>
      <c r="N50" s="58">
        <f>AVERAGEIFS($B$4:$B$147,$A$4:$A$147,"&gt;"&amp;$A50-7,$A$4:$A$147,"&lt;="&amp;$A50)</f>
        <v/>
      </c>
      <c r="O50" s="58">
        <f>AVERAGEIFS($D$4:$D$147,$A$4:$A$147,"&gt;"&amp;$A50-7,$A$4:$A$147,"&lt;="&amp;$A50)</f>
        <v/>
      </c>
      <c r="P50" s="58">
        <f>AVERAGEIFS($G$4:$G$147,$A$4:$A$147,"&gt;"&amp;$A50-7,$A$4:$A$147,"&lt;="&amp;$A50)</f>
        <v/>
      </c>
      <c r="Q50" s="55">
        <f>INT(A50)</f>
        <v/>
      </c>
      <c r="R50" s="69" t="n">
        <v>46074.45069444444</v>
      </c>
    </row>
    <row r="51">
      <c r="A51" s="67" t="n">
        <v>46075.43541666667</v>
      </c>
      <c r="B51" s="58" t="n">
        <v>81.94</v>
      </c>
      <c r="C51" s="58" t="n">
        <v>25.862553</v>
      </c>
      <c r="D51" s="60" t="n">
        <v>23.3</v>
      </c>
      <c r="E51" s="60" t="n">
        <v>53.7</v>
      </c>
      <c r="F51" s="58" t="n">
        <v>3.1</v>
      </c>
      <c r="G51" s="58" t="n">
        <v>59.35</v>
      </c>
      <c r="H51" s="60" t="n">
        <v>19.5</v>
      </c>
      <c r="I51" s="58">
        <f>IF(D51="","",B51*D51/100)</f>
        <v/>
      </c>
      <c r="J51" s="56" t="n">
        <v>9</v>
      </c>
      <c r="K51" s="68" t="n">
        <v>1678</v>
      </c>
      <c r="L51" s="56" t="n">
        <v>30</v>
      </c>
      <c r="M51" s="56" t="n">
        <v>80</v>
      </c>
      <c r="N51" s="58">
        <f>AVERAGEIFS($B$4:$B$147,$A$4:$A$147,"&gt;"&amp;$A51-7,$A$4:$A$147,"&lt;="&amp;$A51)</f>
        <v/>
      </c>
      <c r="O51" s="58">
        <f>AVERAGEIFS($D$4:$D$147,$A$4:$A$147,"&gt;"&amp;$A51-7,$A$4:$A$147,"&lt;="&amp;$A51)</f>
        <v/>
      </c>
      <c r="P51" s="58">
        <f>AVERAGEIFS($G$4:$G$147,$A$4:$A$147,"&gt;"&amp;$A51-7,$A$4:$A$147,"&lt;="&amp;$A51)</f>
        <v/>
      </c>
      <c r="Q51" s="55">
        <f>INT(A51)</f>
        <v/>
      </c>
      <c r="R51" s="69" t="n">
        <v>46075.43541666667</v>
      </c>
    </row>
    <row r="52">
      <c r="A52" s="67" t="n">
        <v>46076.31388888889</v>
      </c>
      <c r="B52" s="58" t="n">
        <v>81.61</v>
      </c>
      <c r="C52" s="58" t="n">
        <v>25.756624</v>
      </c>
      <c r="D52" s="60" t="n">
        <v>23.4</v>
      </c>
      <c r="E52" s="60" t="n">
        <v>53.6</v>
      </c>
      <c r="F52" s="58" t="n">
        <v>3.1</v>
      </c>
      <c r="G52" s="58" t="n">
        <v>59.63</v>
      </c>
      <c r="H52" s="60" t="n">
        <v>19.5</v>
      </c>
      <c r="I52" s="58">
        <f>IF(D52="","",B52*D52/100)</f>
        <v/>
      </c>
      <c r="J52" s="56" t="n">
        <v>9</v>
      </c>
      <c r="K52" s="68" t="n">
        <v>1678</v>
      </c>
      <c r="L52" s="56" t="n">
        <v>30</v>
      </c>
      <c r="M52" s="56" t="n">
        <v>80</v>
      </c>
      <c r="N52" s="58">
        <f>AVERAGEIFS($B$4:$B$147,$A$4:$A$147,"&gt;"&amp;$A52-7,$A$4:$A$147,"&lt;="&amp;$A52)</f>
        <v/>
      </c>
      <c r="O52" s="58">
        <f>AVERAGEIFS($D$4:$D$147,$A$4:$A$147,"&gt;"&amp;$A52-7,$A$4:$A$147,"&lt;="&amp;$A52)</f>
        <v/>
      </c>
      <c r="P52" s="58">
        <f>AVERAGEIFS($G$4:$G$147,$A$4:$A$147,"&gt;"&amp;$A52-7,$A$4:$A$147,"&lt;="&amp;$A52)</f>
        <v/>
      </c>
      <c r="Q52" s="55">
        <f>INT(A52)</f>
        <v/>
      </c>
      <c r="R52" s="69" t="n">
        <v>46076.31388888889</v>
      </c>
    </row>
    <row r="53">
      <c r="A53" s="67" t="n">
        <v>46077.30972222222</v>
      </c>
      <c r="B53" s="58" t="n">
        <v>81.68000000000001</v>
      </c>
      <c r="C53" s="58" t="n">
        <v>25.7804</v>
      </c>
      <c r="D53" s="60" t="n">
        <v>23.2</v>
      </c>
      <c r="E53" s="60" t="n">
        <v>53.8</v>
      </c>
      <c r="F53" s="58" t="n">
        <v>3.1</v>
      </c>
      <c r="G53" s="58" t="n">
        <v>59.26</v>
      </c>
      <c r="H53" s="60" t="n">
        <v>19.5</v>
      </c>
      <c r="I53" s="58">
        <f>IF(D53="","",B53*D53/100)</f>
        <v/>
      </c>
      <c r="J53" s="56" t="n">
        <v>9</v>
      </c>
      <c r="K53" s="68" t="n">
        <v>1677</v>
      </c>
      <c r="L53" s="56" t="n">
        <v>30</v>
      </c>
      <c r="M53" s="56" t="n">
        <v>80</v>
      </c>
      <c r="N53" s="58">
        <f>AVERAGEIFS($B$4:$B$147,$A$4:$A$147,"&gt;"&amp;$A53-7,$A$4:$A$147,"&lt;="&amp;$A53)</f>
        <v/>
      </c>
      <c r="O53" s="58">
        <f>AVERAGEIFS($D$4:$D$147,$A$4:$A$147,"&gt;"&amp;$A53-7,$A$4:$A$147,"&lt;="&amp;$A53)</f>
        <v/>
      </c>
      <c r="P53" s="58">
        <f>AVERAGEIFS($G$4:$G$147,$A$4:$A$147,"&gt;"&amp;$A53-7,$A$4:$A$147,"&lt;="&amp;$A53)</f>
        <v/>
      </c>
      <c r="Q53" s="55">
        <f>INT(A53)</f>
        <v/>
      </c>
      <c r="R53" s="69" t="n">
        <v>46077.30972222222</v>
      </c>
    </row>
    <row r="54">
      <c r="A54" s="67" t="n">
        <v>46078.32777777778</v>
      </c>
      <c r="B54" s="58" t="n">
        <v>80.83</v>
      </c>
      <c r="C54" s="58" t="n">
        <v>25.510496</v>
      </c>
      <c r="D54" s="60" t="n">
        <v>23.6</v>
      </c>
      <c r="E54" s="60" t="n">
        <v>53.5</v>
      </c>
      <c r="F54" s="58" t="n">
        <v>3.1</v>
      </c>
      <c r="G54" s="58" t="n">
        <v>59.14</v>
      </c>
      <c r="H54" s="60" t="n">
        <v>19.5</v>
      </c>
      <c r="I54" s="58">
        <f>IF(D54="","",B54*D54/100)</f>
        <v/>
      </c>
      <c r="J54" s="56" t="n">
        <v>9</v>
      </c>
      <c r="K54" s="68" t="n">
        <v>1677</v>
      </c>
      <c r="L54" s="56" t="n">
        <v>30</v>
      </c>
      <c r="M54" s="56" t="n">
        <v>80</v>
      </c>
      <c r="N54" s="58">
        <f>AVERAGEIFS($B$4:$B$147,$A$4:$A$147,"&gt;"&amp;$A54-7,$A$4:$A$147,"&lt;="&amp;$A54)</f>
        <v/>
      </c>
      <c r="O54" s="58">
        <f>AVERAGEIFS($D$4:$D$147,$A$4:$A$147,"&gt;"&amp;$A54-7,$A$4:$A$147,"&lt;="&amp;$A54)</f>
        <v/>
      </c>
      <c r="P54" s="58">
        <f>AVERAGEIFS($G$4:$G$147,$A$4:$A$147,"&gt;"&amp;$A54-7,$A$4:$A$147,"&lt;="&amp;$A54)</f>
        <v/>
      </c>
      <c r="Q54" s="55">
        <f>INT(A54)</f>
        <v/>
      </c>
      <c r="R54" s="69" t="n">
        <v>46078.32777777778</v>
      </c>
    </row>
    <row r="55">
      <c r="A55" s="67" t="n">
        <v>46079.31388888889</v>
      </c>
      <c r="B55" s="58" t="n">
        <v>81.66</v>
      </c>
      <c r="C55" s="58" t="n">
        <v>25.774355</v>
      </c>
      <c r="D55" s="60" t="n">
        <v>23.4</v>
      </c>
      <c r="E55" s="60" t="n">
        <v>53.6</v>
      </c>
      <c r="F55" s="58" t="n">
        <v>3.1</v>
      </c>
      <c r="G55" s="58" t="n">
        <v>58.78</v>
      </c>
      <c r="H55" s="60" t="n">
        <v>19.5</v>
      </c>
      <c r="I55" s="58">
        <f>IF(D55="","",B55*D55/100)</f>
        <v/>
      </c>
      <c r="J55" s="56" t="n">
        <v>9</v>
      </c>
      <c r="K55" s="68" t="n">
        <v>1676</v>
      </c>
      <c r="L55" s="56" t="n">
        <v>30</v>
      </c>
      <c r="M55" s="56" t="n">
        <v>80</v>
      </c>
      <c r="N55" s="58">
        <f>AVERAGEIFS($B$4:$B$147,$A$4:$A$147,"&gt;"&amp;$A55-7,$A$4:$A$147,"&lt;="&amp;$A55)</f>
        <v/>
      </c>
      <c r="O55" s="58">
        <f>AVERAGEIFS($D$4:$D$147,$A$4:$A$147,"&gt;"&amp;$A55-7,$A$4:$A$147,"&lt;="&amp;$A55)</f>
        <v/>
      </c>
      <c r="P55" s="58">
        <f>AVERAGEIFS($G$4:$G$147,$A$4:$A$147,"&gt;"&amp;$A55-7,$A$4:$A$147,"&lt;="&amp;$A55)</f>
        <v/>
      </c>
      <c r="Q55" s="55">
        <f>INT(A55)</f>
        <v/>
      </c>
      <c r="R55" s="69" t="n">
        <v>46079.31388888889</v>
      </c>
    </row>
    <row r="56">
      <c r="A56" s="67" t="n">
        <v>46080.31805555556</v>
      </c>
      <c r="B56" s="58" t="n">
        <v>81.43000000000001</v>
      </c>
      <c r="C56" s="58" t="n">
        <v>25.701595</v>
      </c>
      <c r="D56" s="60" t="n">
        <v>23.9</v>
      </c>
      <c r="E56" s="60" t="n">
        <v>53.3</v>
      </c>
      <c r="F56" s="58" t="n">
        <v>3.1</v>
      </c>
      <c r="G56" s="58" t="n">
        <v>59.3</v>
      </c>
      <c r="H56" s="60" t="n">
        <v>19.5</v>
      </c>
      <c r="I56" s="58">
        <f>IF(D56="","",B56*D56/100)</f>
        <v/>
      </c>
      <c r="J56" s="56" t="n">
        <v>9</v>
      </c>
      <c r="K56" s="68" t="n">
        <v>1677</v>
      </c>
      <c r="L56" s="56" t="n">
        <v>30</v>
      </c>
      <c r="M56" s="56" t="n">
        <v>80</v>
      </c>
      <c r="N56" s="58">
        <f>AVERAGEIFS($B$4:$B$147,$A$4:$A$147,"&gt;"&amp;$A56-7,$A$4:$A$147,"&lt;="&amp;$A56)</f>
        <v/>
      </c>
      <c r="O56" s="58">
        <f>AVERAGEIFS($D$4:$D$147,$A$4:$A$147,"&gt;"&amp;$A56-7,$A$4:$A$147,"&lt;="&amp;$A56)</f>
        <v/>
      </c>
      <c r="P56" s="58">
        <f>AVERAGEIFS($G$4:$G$147,$A$4:$A$147,"&gt;"&amp;$A56-7,$A$4:$A$147,"&lt;="&amp;$A56)</f>
        <v/>
      </c>
      <c r="Q56" s="55">
        <f>INT(A56)</f>
        <v/>
      </c>
      <c r="R56" s="69" t="n">
        <v>46080.31805555556</v>
      </c>
    </row>
    <row r="57">
      <c r="A57" s="67" t="n">
        <v>46081.4375</v>
      </c>
      <c r="B57" s="58" t="n">
        <v>81.3</v>
      </c>
      <c r="C57" s="58" t="n">
        <v>25.660728</v>
      </c>
      <c r="D57" s="60" t="n">
        <v>23</v>
      </c>
      <c r="E57" s="60" t="n">
        <v>53.9</v>
      </c>
      <c r="F57" s="58" t="n">
        <v>3.1</v>
      </c>
      <c r="G57" s="58" t="n">
        <v>59.63</v>
      </c>
      <c r="H57" s="60" t="n">
        <v>19.5</v>
      </c>
      <c r="I57" s="58">
        <f>IF(D57="","",B57*D57/100)</f>
        <v/>
      </c>
      <c r="J57" s="56" t="n">
        <v>9</v>
      </c>
      <c r="K57" s="68" t="n">
        <v>1678</v>
      </c>
      <c r="L57" s="56" t="n">
        <v>30</v>
      </c>
      <c r="M57" s="56" t="n">
        <v>80</v>
      </c>
      <c r="N57" s="58">
        <f>AVERAGEIFS($B$4:$B$147,$A$4:$A$147,"&gt;"&amp;$A57-7,$A$4:$A$147,"&lt;="&amp;$A57)</f>
        <v/>
      </c>
      <c r="O57" s="58">
        <f>AVERAGEIFS($D$4:$D$147,$A$4:$A$147,"&gt;"&amp;$A57-7,$A$4:$A$147,"&lt;="&amp;$A57)</f>
        <v/>
      </c>
      <c r="P57" s="58">
        <f>AVERAGEIFS($G$4:$G$147,$A$4:$A$147,"&gt;"&amp;$A57-7,$A$4:$A$147,"&lt;="&amp;$A57)</f>
        <v/>
      </c>
      <c r="Q57" s="55">
        <f>INT(A57)</f>
        <v/>
      </c>
      <c r="R57" s="69" t="n">
        <v>46081.4375</v>
      </c>
    </row>
    <row r="58">
      <c r="A58" s="67" t="n">
        <v>46082.4375</v>
      </c>
      <c r="B58" s="58" t="n">
        <v>81.59</v>
      </c>
      <c r="C58" s="58" t="n">
        <v>25.750289</v>
      </c>
      <c r="D58" s="60" t="n">
        <v>23.2</v>
      </c>
      <c r="E58" s="60" t="n">
        <v>53.8</v>
      </c>
      <c r="F58" s="58" t="n">
        <v>3.1</v>
      </c>
      <c r="G58" s="58" t="n">
        <v>59.16</v>
      </c>
      <c r="H58" s="60" t="n">
        <v>19.5</v>
      </c>
      <c r="I58" s="58">
        <f>IF(D58="","",B58*D58/100)</f>
        <v/>
      </c>
      <c r="J58" s="56" t="n">
        <v>9</v>
      </c>
      <c r="K58" s="68" t="n">
        <v>1677</v>
      </c>
      <c r="L58" s="56" t="n">
        <v>30</v>
      </c>
      <c r="M58" s="56" t="n">
        <v>80</v>
      </c>
      <c r="N58" s="58">
        <f>AVERAGEIFS($B$4:$B$147,$A$4:$A$147,"&gt;"&amp;$A58-7,$A$4:$A$147,"&lt;="&amp;$A58)</f>
        <v/>
      </c>
      <c r="O58" s="58">
        <f>AVERAGEIFS($D$4:$D$147,$A$4:$A$147,"&gt;"&amp;$A58-7,$A$4:$A$147,"&lt;="&amp;$A58)</f>
        <v/>
      </c>
      <c r="P58" s="58">
        <f>AVERAGEIFS($G$4:$G$147,$A$4:$A$147,"&gt;"&amp;$A58-7,$A$4:$A$147,"&lt;="&amp;$A58)</f>
        <v/>
      </c>
      <c r="Q58" s="55">
        <f>INT(A58)</f>
        <v/>
      </c>
      <c r="R58" s="69" t="n">
        <v>46082.4375</v>
      </c>
    </row>
    <row r="59">
      <c r="A59" s="67" t="n">
        <v>46083.30208333334</v>
      </c>
      <c r="B59" s="58" t="n">
        <v>81.38</v>
      </c>
      <c r="C59" s="58" t="n">
        <v>25.683957</v>
      </c>
      <c r="D59" s="60" t="n">
        <v>23.2</v>
      </c>
      <c r="E59" s="60" t="n">
        <v>53.8</v>
      </c>
      <c r="F59" s="58" t="n">
        <v>3.1</v>
      </c>
      <c r="G59" s="58" t="n">
        <v>59.5</v>
      </c>
      <c r="H59" s="60" t="n">
        <v>19.5</v>
      </c>
      <c r="I59" s="58">
        <f>IF(D59="","",B59*D59/100)</f>
        <v/>
      </c>
      <c r="J59" s="56" t="n">
        <v>9</v>
      </c>
      <c r="K59" s="68" t="n">
        <v>1678</v>
      </c>
      <c r="L59" s="56" t="n">
        <v>30</v>
      </c>
      <c r="M59" s="56" t="n">
        <v>80</v>
      </c>
      <c r="N59" s="58">
        <f>AVERAGEIFS($B$4:$B$147,$A$4:$A$147,"&gt;"&amp;$A59-7,$A$4:$A$147,"&lt;="&amp;$A59)</f>
        <v/>
      </c>
      <c r="O59" s="58">
        <f>AVERAGEIFS($D$4:$D$147,$A$4:$A$147,"&gt;"&amp;$A59-7,$A$4:$A$147,"&lt;="&amp;$A59)</f>
        <v/>
      </c>
      <c r="P59" s="58">
        <f>AVERAGEIFS($G$4:$G$147,$A$4:$A$147,"&gt;"&amp;$A59-7,$A$4:$A$147,"&lt;="&amp;$A59)</f>
        <v/>
      </c>
      <c r="Q59" s="55">
        <f>INT(A59)</f>
        <v/>
      </c>
      <c r="R59" s="69" t="n">
        <v>46083.30208333334</v>
      </c>
    </row>
    <row r="60">
      <c r="A60" s="67" t="n">
        <v>46085.29444444444</v>
      </c>
      <c r="B60" s="58" t="n">
        <v>81.47</v>
      </c>
      <c r="C60" s="58" t="n">
        <v>25.712644</v>
      </c>
      <c r="D60" s="60" t="n">
        <v>22.5</v>
      </c>
      <c r="E60" s="60" t="n">
        <v>54.2</v>
      </c>
      <c r="F60" s="58" t="n">
        <v>3.1</v>
      </c>
      <c r="G60" s="58" t="n">
        <v>59.38</v>
      </c>
      <c r="H60" s="60" t="n">
        <v>19.5</v>
      </c>
      <c r="I60" s="58">
        <f>IF(D60="","",B60*D60/100)</f>
        <v/>
      </c>
      <c r="J60" s="56" t="n">
        <v>9</v>
      </c>
      <c r="K60" s="68" t="n">
        <v>1678</v>
      </c>
      <c r="L60" s="56" t="n">
        <v>30</v>
      </c>
      <c r="M60" s="56" t="n">
        <v>80</v>
      </c>
      <c r="N60" s="58">
        <f>AVERAGEIFS($B$4:$B$147,$A$4:$A$147,"&gt;"&amp;$A60-7,$A$4:$A$147,"&lt;="&amp;$A60)</f>
        <v/>
      </c>
      <c r="O60" s="58">
        <f>AVERAGEIFS($D$4:$D$147,$A$4:$A$147,"&gt;"&amp;$A60-7,$A$4:$A$147,"&lt;="&amp;$A60)</f>
        <v/>
      </c>
      <c r="P60" s="58">
        <f>AVERAGEIFS($G$4:$G$147,$A$4:$A$147,"&gt;"&amp;$A60-7,$A$4:$A$147,"&lt;="&amp;$A60)</f>
        <v/>
      </c>
      <c r="Q60" s="55">
        <f>INT(A60)</f>
        <v/>
      </c>
      <c r="R60" s="69" t="n">
        <v>46085.29444444444</v>
      </c>
    </row>
    <row r="61">
      <c r="A61" s="67" t="n">
        <v>46086.31388888889</v>
      </c>
      <c r="B61" s="58" t="n">
        <v>81.29000000000001</v>
      </c>
      <c r="C61" s="58" t="n">
        <v>25.655899</v>
      </c>
      <c r="D61" s="60" t="n">
        <v>23.3</v>
      </c>
      <c r="E61" s="60" t="n">
        <v>53.7</v>
      </c>
      <c r="F61" s="58" t="n">
        <v>3.1</v>
      </c>
      <c r="G61" s="58" t="n">
        <v>58.81</v>
      </c>
      <c r="H61" s="60" t="n">
        <v>19.5</v>
      </c>
      <c r="I61" s="58">
        <f>IF(D61="","",B61*D61/100)</f>
        <v/>
      </c>
      <c r="J61" s="56" t="n">
        <v>9</v>
      </c>
      <c r="K61" s="68" t="n">
        <v>1676</v>
      </c>
      <c r="L61" s="56" t="n">
        <v>30</v>
      </c>
      <c r="M61" s="56" t="n">
        <v>80</v>
      </c>
      <c r="N61" s="58">
        <f>AVERAGEIFS($B$4:$B$147,$A$4:$A$147,"&gt;"&amp;$A61-7,$A$4:$A$147,"&lt;="&amp;$A61)</f>
        <v/>
      </c>
      <c r="O61" s="58">
        <f>AVERAGEIFS($D$4:$D$147,$A$4:$A$147,"&gt;"&amp;$A61-7,$A$4:$A$147,"&lt;="&amp;$A61)</f>
        <v/>
      </c>
      <c r="P61" s="58">
        <f>AVERAGEIFS($G$4:$G$147,$A$4:$A$147,"&gt;"&amp;$A61-7,$A$4:$A$147,"&lt;="&amp;$A61)</f>
        <v/>
      </c>
      <c r="Q61" s="55">
        <f>INT(A61)</f>
        <v/>
      </c>
      <c r="R61" s="69" t="n">
        <v>46086.31388888889</v>
      </c>
    </row>
    <row r="62">
      <c r="A62" s="67" t="n">
        <v>46087.30208333334</v>
      </c>
      <c r="B62" s="58" t="n">
        <v>81.12</v>
      </c>
      <c r="C62" s="58" t="n">
        <v>25.603079</v>
      </c>
      <c r="D62" s="60" t="n">
        <v>22.7</v>
      </c>
      <c r="E62" s="60" t="n">
        <v>54.1</v>
      </c>
      <c r="F62" s="58" t="n">
        <v>3.1</v>
      </c>
      <c r="G62" s="58" t="n">
        <v>58.77</v>
      </c>
      <c r="H62" s="60" t="n">
        <v>19.5</v>
      </c>
      <c r="I62" s="58">
        <f>IF(D62="","",B62*D62/100)</f>
        <v/>
      </c>
      <c r="J62" s="56" t="n">
        <v>9</v>
      </c>
      <c r="K62" s="68" t="n">
        <v>1676</v>
      </c>
      <c r="L62" s="56" t="n">
        <v>30</v>
      </c>
      <c r="M62" s="56" t="n">
        <v>80</v>
      </c>
      <c r="N62" s="58">
        <f>AVERAGEIFS($B$4:$B$147,$A$4:$A$147,"&gt;"&amp;$A62-7,$A$4:$A$147,"&lt;="&amp;$A62)</f>
        <v/>
      </c>
      <c r="O62" s="58">
        <f>AVERAGEIFS($D$4:$D$147,$A$4:$A$147,"&gt;"&amp;$A62-7,$A$4:$A$147,"&lt;="&amp;$A62)</f>
        <v/>
      </c>
      <c r="P62" s="58">
        <f>AVERAGEIFS($G$4:$G$147,$A$4:$A$147,"&gt;"&amp;$A62-7,$A$4:$A$147,"&lt;="&amp;$A62)</f>
        <v/>
      </c>
      <c r="Q62" s="55">
        <f>INT(A62)</f>
        <v/>
      </c>
      <c r="R62" s="69" t="n">
        <v>46087.30208333334</v>
      </c>
    </row>
    <row r="63">
      <c r="A63" s="67" t="n">
        <v>46088.42777777778</v>
      </c>
      <c r="B63" s="58" t="n">
        <v>81.76000000000001</v>
      </c>
      <c r="C63" s="58" t="n">
        <v>25.80511</v>
      </c>
      <c r="D63" s="60" t="n">
        <v>22.5</v>
      </c>
      <c r="E63" s="60" t="n">
        <v>54.2</v>
      </c>
      <c r="F63" s="58" t="n">
        <v>3.1</v>
      </c>
      <c r="G63" s="58" t="n">
        <v>59.33</v>
      </c>
      <c r="H63" s="60" t="n">
        <v>19.5</v>
      </c>
      <c r="I63" s="58">
        <f>IF(D63="","",B63*D63/100)</f>
        <v/>
      </c>
      <c r="J63" s="56" t="n">
        <v>9</v>
      </c>
      <c r="K63" s="68" t="n">
        <v>1677</v>
      </c>
      <c r="L63" s="56" t="n">
        <v>30</v>
      </c>
      <c r="M63" s="56" t="n">
        <v>80</v>
      </c>
      <c r="N63" s="58">
        <f>AVERAGEIFS($B$4:$B$147,$A$4:$A$147,"&gt;"&amp;$A63-7,$A$4:$A$147,"&lt;="&amp;$A63)</f>
        <v/>
      </c>
      <c r="O63" s="58">
        <f>AVERAGEIFS($D$4:$D$147,$A$4:$A$147,"&gt;"&amp;$A63-7,$A$4:$A$147,"&lt;="&amp;$A63)</f>
        <v/>
      </c>
      <c r="P63" s="58">
        <f>AVERAGEIFS($G$4:$G$147,$A$4:$A$147,"&gt;"&amp;$A63-7,$A$4:$A$147,"&lt;="&amp;$A63)</f>
        <v/>
      </c>
      <c r="Q63" s="55">
        <f>INT(A63)</f>
        <v/>
      </c>
      <c r="R63" s="69" t="n">
        <v>46088.42777777778</v>
      </c>
    </row>
    <row r="64">
      <c r="A64" s="67" t="n">
        <v>46089.43402777778</v>
      </c>
      <c r="B64" s="58" t="n">
        <v>81.42</v>
      </c>
      <c r="C64" s="58" t="n">
        <v>25.698928</v>
      </c>
      <c r="D64" s="60" t="n">
        <v>22.8</v>
      </c>
      <c r="E64" s="60" t="n">
        <v>54.1</v>
      </c>
      <c r="F64" s="58" t="n">
        <v>3.1</v>
      </c>
      <c r="G64" s="58" t="n">
        <v>59.28</v>
      </c>
      <c r="H64" s="60" t="n">
        <v>19.5</v>
      </c>
      <c r="I64" s="58">
        <f>IF(D64="","",B64*D64/100)</f>
        <v/>
      </c>
      <c r="J64" s="56" t="n">
        <v>9</v>
      </c>
      <c r="K64" s="68" t="n">
        <v>1677</v>
      </c>
      <c r="L64" s="56" t="n">
        <v>30</v>
      </c>
      <c r="M64" s="56" t="n">
        <v>80</v>
      </c>
      <c r="N64" s="58">
        <f>AVERAGEIFS($B$4:$B$147,$A$4:$A$147,"&gt;"&amp;$A64-7,$A$4:$A$147,"&lt;="&amp;$A64)</f>
        <v/>
      </c>
      <c r="O64" s="58">
        <f>AVERAGEIFS($D$4:$D$147,$A$4:$A$147,"&gt;"&amp;$A64-7,$A$4:$A$147,"&lt;="&amp;$A64)</f>
        <v/>
      </c>
      <c r="P64" s="58">
        <f>AVERAGEIFS($G$4:$G$147,$A$4:$A$147,"&gt;"&amp;$A64-7,$A$4:$A$147,"&lt;="&amp;$A64)</f>
        <v/>
      </c>
      <c r="Q64" s="55">
        <f>INT(A64)</f>
        <v/>
      </c>
      <c r="R64" s="69" t="n">
        <v>46089.43402777778</v>
      </c>
    </row>
    <row r="65">
      <c r="A65" s="67" t="n">
        <v>46090.29444444444</v>
      </c>
      <c r="B65" s="58" t="n">
        <v>81.08</v>
      </c>
      <c r="C65" s="58" t="n">
        <v>25.590955</v>
      </c>
      <c r="D65" s="60" t="n">
        <v>23.2</v>
      </c>
      <c r="E65" s="60" t="n">
        <v>53.8</v>
      </c>
      <c r="F65" s="58" t="n">
        <v>3.1</v>
      </c>
      <c r="G65" s="58" t="n">
        <v>59.56</v>
      </c>
      <c r="H65" s="60" t="n">
        <v>19.5</v>
      </c>
      <c r="I65" s="58">
        <f>IF(D65="","",B65*D65/100)</f>
        <v/>
      </c>
      <c r="J65" s="56" t="n">
        <v>9</v>
      </c>
      <c r="K65" s="68" t="n">
        <v>1678</v>
      </c>
      <c r="L65" s="56" t="n">
        <v>30</v>
      </c>
      <c r="M65" s="56" t="n">
        <v>80</v>
      </c>
      <c r="N65" s="58">
        <f>AVERAGEIFS($B$4:$B$147,$A$4:$A$147,"&gt;"&amp;$A65-7,$A$4:$A$147,"&lt;="&amp;$A65)</f>
        <v/>
      </c>
      <c r="O65" s="58">
        <f>AVERAGEIFS($D$4:$D$147,$A$4:$A$147,"&gt;"&amp;$A65-7,$A$4:$A$147,"&lt;="&amp;$A65)</f>
        <v/>
      </c>
      <c r="P65" s="58">
        <f>AVERAGEIFS($G$4:$G$147,$A$4:$A$147,"&gt;"&amp;$A65-7,$A$4:$A$147,"&lt;="&amp;$A65)</f>
        <v/>
      </c>
      <c r="Q65" s="55">
        <f>INT(A65)</f>
        <v/>
      </c>
      <c r="R65" s="69" t="n">
        <v>46090.29444444444</v>
      </c>
    </row>
    <row r="66">
      <c r="A66" s="67" t="n">
        <v>46091.32013888889</v>
      </c>
      <c r="B66" s="58" t="n">
        <v>81.39</v>
      </c>
      <c r="C66" s="58" t="n">
        <v>25.687467</v>
      </c>
      <c r="D66" s="60" t="n">
        <v>22.7</v>
      </c>
      <c r="E66" s="60" t="n">
        <v>54.1</v>
      </c>
      <c r="F66" s="58" t="n">
        <v>3.1</v>
      </c>
      <c r="G66" s="58" t="n">
        <v>59.12</v>
      </c>
      <c r="H66" s="60" t="n">
        <v>19.5</v>
      </c>
      <c r="I66" s="58">
        <f>IF(D66="","",B66*D66/100)</f>
        <v/>
      </c>
      <c r="J66" s="56" t="n">
        <v>9</v>
      </c>
      <c r="K66" s="68" t="n">
        <v>1677</v>
      </c>
      <c r="L66" s="56" t="n">
        <v>30</v>
      </c>
      <c r="M66" s="56" t="n">
        <v>80</v>
      </c>
      <c r="N66" s="58">
        <f>AVERAGEIFS($B$4:$B$147,$A$4:$A$147,"&gt;"&amp;$A66-7,$A$4:$A$147,"&lt;="&amp;$A66)</f>
        <v/>
      </c>
      <c r="O66" s="58">
        <f>AVERAGEIFS($D$4:$D$147,$A$4:$A$147,"&gt;"&amp;$A66-7,$A$4:$A$147,"&lt;="&amp;$A66)</f>
        <v/>
      </c>
      <c r="P66" s="58">
        <f>AVERAGEIFS($G$4:$G$147,$A$4:$A$147,"&gt;"&amp;$A66-7,$A$4:$A$147,"&lt;="&amp;$A66)</f>
        <v/>
      </c>
      <c r="Q66" s="55">
        <f>INT(A66)</f>
        <v/>
      </c>
      <c r="R66" s="69" t="n">
        <v>46091.32013888889</v>
      </c>
    </row>
    <row r="67">
      <c r="A67" s="67" t="n">
        <v>46092.31180555555</v>
      </c>
      <c r="B67" s="58" t="n">
        <v>81.08</v>
      </c>
      <c r="C67" s="58" t="n">
        <v>25.591497</v>
      </c>
      <c r="D67" s="60" t="n">
        <v>23.8</v>
      </c>
      <c r="E67" s="60" t="n">
        <v>53.4</v>
      </c>
      <c r="F67" s="58" t="n">
        <v>3.1</v>
      </c>
      <c r="G67" s="58" t="n">
        <v>59</v>
      </c>
      <c r="H67" s="60" t="n">
        <v>19.5</v>
      </c>
      <c r="I67" s="58">
        <f>IF(D67="","",B67*D67/100)</f>
        <v/>
      </c>
      <c r="J67" s="56" t="n">
        <v>9</v>
      </c>
      <c r="K67" s="68" t="n">
        <v>1677</v>
      </c>
      <c r="L67" s="56" t="n">
        <v>30</v>
      </c>
      <c r="M67" s="56" t="n">
        <v>80</v>
      </c>
      <c r="N67" s="58">
        <f>AVERAGEIFS($B$4:$B$147,$A$4:$A$147,"&gt;"&amp;$A67-7,$A$4:$A$147,"&lt;="&amp;$A67)</f>
        <v/>
      </c>
      <c r="O67" s="58">
        <f>AVERAGEIFS($D$4:$D$147,$A$4:$A$147,"&gt;"&amp;$A67-7,$A$4:$A$147,"&lt;="&amp;$A67)</f>
        <v/>
      </c>
      <c r="P67" s="58">
        <f>AVERAGEIFS($G$4:$G$147,$A$4:$A$147,"&gt;"&amp;$A67-7,$A$4:$A$147,"&lt;="&amp;$A67)</f>
        <v/>
      </c>
      <c r="Q67" s="55">
        <f>INT(A67)</f>
        <v/>
      </c>
      <c r="R67" s="69" t="n">
        <v>46092.31180555555</v>
      </c>
    </row>
    <row r="68">
      <c r="A68" s="67" t="n">
        <v>46093.32847222222</v>
      </c>
      <c r="B68" s="58" t="n">
        <v>81.11</v>
      </c>
      <c r="C68" s="58" t="n">
        <v>25.601152</v>
      </c>
      <c r="D68" s="60" t="n">
        <v>22.9</v>
      </c>
      <c r="E68" s="60" t="n">
        <v>54</v>
      </c>
      <c r="F68" s="58" t="n">
        <v>3.1</v>
      </c>
      <c r="G68" s="58" t="n">
        <v>59.62</v>
      </c>
      <c r="H68" s="60" t="n">
        <v>19.5</v>
      </c>
      <c r="I68" s="58">
        <f>IF(D68="","",B68*D68/100)</f>
        <v/>
      </c>
      <c r="J68" s="56" t="n">
        <v>9</v>
      </c>
      <c r="K68" s="68" t="n">
        <v>1678</v>
      </c>
      <c r="L68" s="56" t="n">
        <v>30</v>
      </c>
      <c r="M68" s="56" t="n">
        <v>80</v>
      </c>
      <c r="N68" s="58">
        <f>AVERAGEIFS($B$4:$B$147,$A$4:$A$147,"&gt;"&amp;$A68-7,$A$4:$A$147,"&lt;="&amp;$A68)</f>
        <v/>
      </c>
      <c r="O68" s="58">
        <f>AVERAGEIFS($D$4:$D$147,$A$4:$A$147,"&gt;"&amp;$A68-7,$A$4:$A$147,"&lt;="&amp;$A68)</f>
        <v/>
      </c>
      <c r="P68" s="58">
        <f>AVERAGEIFS($G$4:$G$147,$A$4:$A$147,"&gt;"&amp;$A68-7,$A$4:$A$147,"&lt;="&amp;$A68)</f>
        <v/>
      </c>
      <c r="Q68" s="55">
        <f>INT(A68)</f>
        <v/>
      </c>
      <c r="R68" s="69" t="n">
        <v>46093.32847222222</v>
      </c>
    </row>
    <row r="69">
      <c r="A69" s="67" t="n">
        <v>46094.30902777778</v>
      </c>
      <c r="B69" s="58" t="n">
        <v>80.7</v>
      </c>
      <c r="C69" s="58" t="n">
        <v>25.47152</v>
      </c>
      <c r="D69" s="60" t="n">
        <v>23</v>
      </c>
      <c r="E69" s="60" t="n">
        <v>53.9</v>
      </c>
      <c r="F69" s="58" t="n">
        <v>3.1</v>
      </c>
      <c r="G69" s="58" t="n">
        <v>59.06</v>
      </c>
      <c r="H69" s="60" t="n">
        <v>19.5</v>
      </c>
      <c r="I69" s="58">
        <f>IF(D69="","",B69*D69/100)</f>
        <v/>
      </c>
      <c r="J69" s="56" t="n">
        <v>9</v>
      </c>
      <c r="K69" s="68" t="n">
        <v>1677</v>
      </c>
      <c r="L69" s="56" t="n">
        <v>30</v>
      </c>
      <c r="M69" s="56" t="n">
        <v>80</v>
      </c>
      <c r="N69" s="58">
        <f>AVERAGEIFS($B$4:$B$147,$A$4:$A$147,"&gt;"&amp;$A69-7,$A$4:$A$147,"&lt;="&amp;$A69)</f>
        <v/>
      </c>
      <c r="O69" s="58">
        <f>AVERAGEIFS($D$4:$D$147,$A$4:$A$147,"&gt;"&amp;$A69-7,$A$4:$A$147,"&lt;="&amp;$A69)</f>
        <v/>
      </c>
      <c r="P69" s="58">
        <f>AVERAGEIFS($G$4:$G$147,$A$4:$A$147,"&gt;"&amp;$A69-7,$A$4:$A$147,"&lt;="&amp;$A69)</f>
        <v/>
      </c>
      <c r="Q69" s="55">
        <f>INT(A69)</f>
        <v/>
      </c>
      <c r="R69" s="69" t="n">
        <v>46094.30902777778</v>
      </c>
    </row>
    <row r="70">
      <c r="A70" s="67" t="n">
        <v>46096.43611111111</v>
      </c>
      <c r="B70" s="58" t="n">
        <v>81.23999999999999</v>
      </c>
      <c r="C70" s="58" t="n">
        <v>25.641446</v>
      </c>
      <c r="D70" s="60" t="n">
        <v>22.6</v>
      </c>
      <c r="E70" s="60" t="n">
        <v>54.2</v>
      </c>
      <c r="F70" s="58" t="n">
        <v>3.1</v>
      </c>
      <c r="G70" s="58" t="n">
        <v>58.98</v>
      </c>
      <c r="H70" s="60" t="n">
        <v>19.5</v>
      </c>
      <c r="I70" s="58">
        <f>IF(D70="","",B70*D70/100)</f>
        <v/>
      </c>
      <c r="J70" s="56" t="n">
        <v>9</v>
      </c>
      <c r="K70" s="68" t="n">
        <v>1676</v>
      </c>
      <c r="L70" s="56" t="n">
        <v>30</v>
      </c>
      <c r="M70" s="56" t="n">
        <v>80</v>
      </c>
      <c r="N70" s="58">
        <f>AVERAGEIFS($B$4:$B$147,$A$4:$A$147,"&gt;"&amp;$A70-7,$A$4:$A$147,"&lt;="&amp;$A70)</f>
        <v/>
      </c>
      <c r="O70" s="58">
        <f>AVERAGEIFS($D$4:$D$147,$A$4:$A$147,"&gt;"&amp;$A70-7,$A$4:$A$147,"&lt;="&amp;$A70)</f>
        <v/>
      </c>
      <c r="P70" s="58">
        <f>AVERAGEIFS($G$4:$G$147,$A$4:$A$147,"&gt;"&amp;$A70-7,$A$4:$A$147,"&lt;="&amp;$A70)</f>
        <v/>
      </c>
      <c r="Q70" s="55">
        <f>INT(A70)</f>
        <v/>
      </c>
      <c r="R70" s="69" t="n">
        <v>46096.43611111111</v>
      </c>
    </row>
    <row r="71">
      <c r="A71" s="67" t="n">
        <v>46097.30416666667</v>
      </c>
      <c r="B71" s="58" t="n">
        <v>80.56</v>
      </c>
      <c r="C71" s="58" t="n">
        <v>25.425909</v>
      </c>
      <c r="D71" s="60" t="n">
        <v>22.6</v>
      </c>
      <c r="E71" s="60" t="n">
        <v>54.2</v>
      </c>
      <c r="F71" s="58" t="n">
        <v>3.1</v>
      </c>
      <c r="G71" s="58" t="n">
        <v>59.65</v>
      </c>
      <c r="H71" s="60" t="n">
        <v>19.5</v>
      </c>
      <c r="I71" s="58">
        <f>IF(D71="","",B71*D71/100)</f>
        <v/>
      </c>
      <c r="J71" s="56" t="n">
        <v>9</v>
      </c>
      <c r="K71" s="68" t="n">
        <v>1678</v>
      </c>
      <c r="L71" s="56" t="n">
        <v>30</v>
      </c>
      <c r="M71" s="56" t="n">
        <v>80</v>
      </c>
      <c r="N71" s="58">
        <f>AVERAGEIFS($B$4:$B$147,$A$4:$A$147,"&gt;"&amp;$A71-7,$A$4:$A$147,"&lt;="&amp;$A71)</f>
        <v/>
      </c>
      <c r="O71" s="58">
        <f>AVERAGEIFS($D$4:$D$147,$A$4:$A$147,"&gt;"&amp;$A71-7,$A$4:$A$147,"&lt;="&amp;$A71)</f>
        <v/>
      </c>
      <c r="P71" s="58">
        <f>AVERAGEIFS($G$4:$G$147,$A$4:$A$147,"&gt;"&amp;$A71-7,$A$4:$A$147,"&lt;="&amp;$A71)</f>
        <v/>
      </c>
      <c r="Q71" s="55">
        <f>INT(A71)</f>
        <v/>
      </c>
      <c r="R71" s="69" t="n">
        <v>46097.30416666667</v>
      </c>
    </row>
    <row r="72">
      <c r="A72" s="67" t="n">
        <v>46098.29583333333</v>
      </c>
      <c r="B72" s="58" t="n">
        <v>80.58</v>
      </c>
      <c r="C72" s="58" t="n">
        <v>25.433113</v>
      </c>
      <c r="D72" s="60" t="n">
        <v>22.9</v>
      </c>
      <c r="E72" s="60" t="n">
        <v>54</v>
      </c>
      <c r="F72" s="58" t="n">
        <v>3.1</v>
      </c>
      <c r="G72" s="58" t="n">
        <v>59.31</v>
      </c>
      <c r="H72" s="60" t="n">
        <v>19.5</v>
      </c>
      <c r="I72" s="58">
        <f>IF(D72="","",B72*D72/100)</f>
        <v/>
      </c>
      <c r="J72" s="56" t="n">
        <v>9</v>
      </c>
      <c r="K72" s="68" t="n">
        <v>1677</v>
      </c>
      <c r="L72" s="56" t="n">
        <v>30</v>
      </c>
      <c r="M72" s="56" t="n">
        <v>80</v>
      </c>
      <c r="N72" s="58">
        <f>AVERAGEIFS($B$4:$B$147,$A$4:$A$147,"&gt;"&amp;$A72-7,$A$4:$A$147,"&lt;="&amp;$A72)</f>
        <v/>
      </c>
      <c r="O72" s="58">
        <f>AVERAGEIFS($D$4:$D$147,$A$4:$A$147,"&gt;"&amp;$A72-7,$A$4:$A$147,"&lt;="&amp;$A72)</f>
        <v/>
      </c>
      <c r="P72" s="58">
        <f>AVERAGEIFS($G$4:$G$147,$A$4:$A$147,"&gt;"&amp;$A72-7,$A$4:$A$147,"&lt;="&amp;$A72)</f>
        <v/>
      </c>
      <c r="Q72" s="55">
        <f>INT(A72)</f>
        <v/>
      </c>
      <c r="R72" s="69" t="n">
        <v>46098.29583333333</v>
      </c>
    </row>
    <row r="73">
      <c r="A73" s="67" t="n">
        <v>46099.29930555556</v>
      </c>
      <c r="B73" s="58" t="n">
        <v>80.56999999999999</v>
      </c>
      <c r="C73" s="58" t="n">
        <v>25.429148</v>
      </c>
      <c r="D73" s="60" t="n">
        <v>22.8</v>
      </c>
      <c r="E73" s="60" t="n">
        <v>54.1</v>
      </c>
      <c r="F73" s="58" t="n">
        <v>3.1</v>
      </c>
      <c r="G73" s="58" t="n">
        <v>58.72</v>
      </c>
      <c r="H73" s="60" t="n">
        <v>19.5</v>
      </c>
      <c r="I73" s="58">
        <f>IF(D73="","",B73*D73/100)</f>
        <v/>
      </c>
      <c r="J73" s="56" t="n">
        <v>9</v>
      </c>
      <c r="K73" s="68" t="n">
        <v>1676</v>
      </c>
      <c r="L73" s="56" t="n">
        <v>30</v>
      </c>
      <c r="M73" s="56" t="n">
        <v>80</v>
      </c>
      <c r="N73" s="58">
        <f>AVERAGEIFS($B$4:$B$147,$A$4:$A$147,"&gt;"&amp;$A73-7,$A$4:$A$147,"&lt;="&amp;$A73)</f>
        <v/>
      </c>
      <c r="O73" s="58">
        <f>AVERAGEIFS($D$4:$D$147,$A$4:$A$147,"&gt;"&amp;$A73-7,$A$4:$A$147,"&lt;="&amp;$A73)</f>
        <v/>
      </c>
      <c r="P73" s="58">
        <f>AVERAGEIFS($G$4:$G$147,$A$4:$A$147,"&gt;"&amp;$A73-7,$A$4:$A$147,"&lt;="&amp;$A73)</f>
        <v/>
      </c>
      <c r="Q73" s="55">
        <f>INT(A73)</f>
        <v/>
      </c>
      <c r="R73" s="69" t="n">
        <v>46099.29930555556</v>
      </c>
    </row>
    <row r="74">
      <c r="A74" s="67" t="n">
        <v>46100.30277777778</v>
      </c>
      <c r="B74" s="58" t="n">
        <v>80.91</v>
      </c>
      <c r="C74" s="58" t="n">
        <v>25.536014</v>
      </c>
      <c r="D74" s="60" t="n">
        <v>22.1</v>
      </c>
      <c r="E74" s="60" t="n">
        <v>54.5</v>
      </c>
      <c r="F74" s="58" t="n">
        <v>3.1</v>
      </c>
      <c r="G74" s="58" t="n">
        <v>59.38</v>
      </c>
      <c r="H74" s="60" t="n">
        <v>19.5</v>
      </c>
      <c r="I74" s="58">
        <f>IF(D74="","",B74*D74/100)</f>
        <v/>
      </c>
      <c r="J74" s="56" t="n">
        <v>9</v>
      </c>
      <c r="K74" s="68" t="n">
        <v>1678</v>
      </c>
      <c r="L74" s="56" t="n">
        <v>30</v>
      </c>
      <c r="M74" s="56" t="n">
        <v>80</v>
      </c>
      <c r="N74" s="58">
        <f>AVERAGEIFS($B$4:$B$147,$A$4:$A$147,"&gt;"&amp;$A74-7,$A$4:$A$147,"&lt;="&amp;$A74)</f>
        <v/>
      </c>
      <c r="O74" s="58">
        <f>AVERAGEIFS($D$4:$D$147,$A$4:$A$147,"&gt;"&amp;$A74-7,$A$4:$A$147,"&lt;="&amp;$A74)</f>
        <v/>
      </c>
      <c r="P74" s="58">
        <f>AVERAGEIFS($G$4:$G$147,$A$4:$A$147,"&gt;"&amp;$A74-7,$A$4:$A$147,"&lt;="&amp;$A74)</f>
        <v/>
      </c>
      <c r="Q74" s="55">
        <f>INT(A74)</f>
        <v/>
      </c>
      <c r="R74" s="69" t="n">
        <v>46100.30277777778</v>
      </c>
    </row>
    <row r="75">
      <c r="A75" s="67" t="n">
        <v>46101.31319444445</v>
      </c>
      <c r="B75" s="58" t="n">
        <v>80.45</v>
      </c>
      <c r="C75" s="58" t="n">
        <v>25.392486</v>
      </c>
      <c r="D75" s="60" t="n">
        <v>22.3</v>
      </c>
      <c r="E75" s="60" t="n">
        <v>54.4</v>
      </c>
      <c r="F75" s="58" t="n">
        <v>3.1</v>
      </c>
      <c r="G75" s="58" t="n">
        <v>59.56</v>
      </c>
      <c r="H75" s="60" t="n">
        <v>19.5</v>
      </c>
      <c r="I75" s="58">
        <f>IF(D75="","",B75*D75/100)</f>
        <v/>
      </c>
      <c r="J75" s="56" t="n">
        <v>9</v>
      </c>
      <c r="K75" s="68" t="n">
        <v>1678</v>
      </c>
      <c r="L75" s="56" t="n">
        <v>30</v>
      </c>
      <c r="M75" s="56" t="n">
        <v>80</v>
      </c>
      <c r="N75" s="58">
        <f>AVERAGEIFS($B$4:$B$147,$A$4:$A$147,"&gt;"&amp;$A75-7,$A$4:$A$147,"&lt;="&amp;$A75)</f>
        <v/>
      </c>
      <c r="O75" s="58">
        <f>AVERAGEIFS($D$4:$D$147,$A$4:$A$147,"&gt;"&amp;$A75-7,$A$4:$A$147,"&lt;="&amp;$A75)</f>
        <v/>
      </c>
      <c r="P75" s="58">
        <f>AVERAGEIFS($G$4:$G$147,$A$4:$A$147,"&gt;"&amp;$A75-7,$A$4:$A$147,"&lt;="&amp;$A75)</f>
        <v/>
      </c>
      <c r="Q75" s="55">
        <f>INT(A75)</f>
        <v/>
      </c>
      <c r="R75" s="69" t="n">
        <v>46101.31319444445</v>
      </c>
    </row>
    <row r="76">
      <c r="A76" s="67" t="n">
        <v>46102.41944444444</v>
      </c>
      <c r="B76" s="58" t="n">
        <v>80.64</v>
      </c>
      <c r="C76" s="58" t="n">
        <v>25.452056</v>
      </c>
      <c r="D76" s="60" t="n">
        <v>22.5</v>
      </c>
      <c r="E76" s="60" t="n">
        <v>54.3</v>
      </c>
      <c r="F76" s="58" t="n">
        <v>3.1</v>
      </c>
      <c r="G76" s="58" t="n">
        <v>59.24</v>
      </c>
      <c r="H76" s="60" t="n">
        <v>19.5</v>
      </c>
      <c r="I76" s="58">
        <f>IF(D76="","",B76*D76/100)</f>
        <v/>
      </c>
      <c r="J76" s="56" t="n">
        <v>9</v>
      </c>
      <c r="K76" s="68" t="n">
        <v>1677</v>
      </c>
      <c r="L76" s="56" t="n">
        <v>30</v>
      </c>
      <c r="M76" s="56" t="n">
        <v>80</v>
      </c>
      <c r="N76" s="58">
        <f>AVERAGEIFS($B$4:$B$147,$A$4:$A$147,"&gt;"&amp;$A76-7,$A$4:$A$147,"&lt;="&amp;$A76)</f>
        <v/>
      </c>
      <c r="O76" s="58">
        <f>AVERAGEIFS($D$4:$D$147,$A$4:$A$147,"&gt;"&amp;$A76-7,$A$4:$A$147,"&lt;="&amp;$A76)</f>
        <v/>
      </c>
      <c r="P76" s="58">
        <f>AVERAGEIFS($G$4:$G$147,$A$4:$A$147,"&gt;"&amp;$A76-7,$A$4:$A$147,"&lt;="&amp;$A76)</f>
        <v/>
      </c>
      <c r="Q76" s="55">
        <f>INT(A76)</f>
        <v/>
      </c>
      <c r="R76" s="69" t="n">
        <v>46102.41944444444</v>
      </c>
    </row>
    <row r="77">
      <c r="A77" s="67" t="n">
        <v>46103.42777777778</v>
      </c>
      <c r="B77" s="58" t="n">
        <v>81</v>
      </c>
      <c r="C77" s="58" t="n">
        <v>25.565826</v>
      </c>
      <c r="D77" s="60" t="n">
        <v>22.8</v>
      </c>
      <c r="E77" s="60" t="n">
        <v>54</v>
      </c>
      <c r="F77" s="58" t="n">
        <v>3.1</v>
      </c>
      <c r="G77" s="58" t="n">
        <v>59.65</v>
      </c>
      <c r="H77" s="60" t="n">
        <v>19.5</v>
      </c>
      <c r="I77" s="58">
        <f>IF(D77="","",B77*D77/100)</f>
        <v/>
      </c>
      <c r="J77" s="56" t="n">
        <v>9</v>
      </c>
      <c r="K77" s="68" t="n">
        <v>1678</v>
      </c>
      <c r="L77" s="56" t="n">
        <v>30</v>
      </c>
      <c r="M77" s="56" t="n">
        <v>80</v>
      </c>
      <c r="N77" s="58">
        <f>AVERAGEIFS($B$4:$B$147,$A$4:$A$147,"&gt;"&amp;$A77-7,$A$4:$A$147,"&lt;="&amp;$A77)</f>
        <v/>
      </c>
      <c r="O77" s="58">
        <f>AVERAGEIFS($D$4:$D$147,$A$4:$A$147,"&gt;"&amp;$A77-7,$A$4:$A$147,"&lt;="&amp;$A77)</f>
        <v/>
      </c>
      <c r="P77" s="58">
        <f>AVERAGEIFS($G$4:$G$147,$A$4:$A$147,"&gt;"&amp;$A77-7,$A$4:$A$147,"&lt;="&amp;$A77)</f>
        <v/>
      </c>
      <c r="Q77" s="55">
        <f>INT(A77)</f>
        <v/>
      </c>
      <c r="R77" s="69" t="n">
        <v>46103.42777777778</v>
      </c>
    </row>
    <row r="78">
      <c r="A78" s="67" t="n">
        <v>46104.30625</v>
      </c>
      <c r="B78" s="58" t="n">
        <v>80.64</v>
      </c>
      <c r="C78" s="58" t="n">
        <v>25.452452</v>
      </c>
      <c r="D78" s="60" t="n">
        <v>22.8</v>
      </c>
      <c r="E78" s="60" t="n">
        <v>54</v>
      </c>
      <c r="F78" s="58" t="n">
        <v>3.1</v>
      </c>
      <c r="G78" s="58" t="n">
        <v>59.18</v>
      </c>
      <c r="H78" s="60" t="n">
        <v>19.5</v>
      </c>
      <c r="I78" s="58">
        <f>IF(D78="","",B78*D78/100)</f>
        <v/>
      </c>
      <c r="J78" s="56" t="n">
        <v>9</v>
      </c>
      <c r="K78" s="68" t="n">
        <v>1677</v>
      </c>
      <c r="L78" s="56" t="n">
        <v>30</v>
      </c>
      <c r="M78" s="56" t="n">
        <v>80</v>
      </c>
      <c r="N78" s="58">
        <f>AVERAGEIFS($B$4:$B$147,$A$4:$A$147,"&gt;"&amp;$A78-7,$A$4:$A$147,"&lt;="&amp;$A78)</f>
        <v/>
      </c>
      <c r="O78" s="58">
        <f>AVERAGEIFS($D$4:$D$147,$A$4:$A$147,"&gt;"&amp;$A78-7,$A$4:$A$147,"&lt;="&amp;$A78)</f>
        <v/>
      </c>
      <c r="P78" s="58">
        <f>AVERAGEIFS($G$4:$G$147,$A$4:$A$147,"&gt;"&amp;$A78-7,$A$4:$A$147,"&lt;="&amp;$A78)</f>
        <v/>
      </c>
      <c r="Q78" s="55">
        <f>INT(A78)</f>
        <v/>
      </c>
      <c r="R78" s="69" t="n">
        <v>46104.30625</v>
      </c>
    </row>
    <row r="79">
      <c r="A79" s="67" t="n">
        <v>46105.31875</v>
      </c>
      <c r="B79" s="58" t="n">
        <v>80.61</v>
      </c>
      <c r="C79" s="58" t="n">
        <v>25.441229</v>
      </c>
      <c r="D79" s="60" t="n">
        <v>22.7</v>
      </c>
      <c r="E79" s="60" t="n">
        <v>54.1</v>
      </c>
      <c r="F79" s="58" t="n">
        <v>3.1</v>
      </c>
      <c r="G79" s="58" t="n">
        <v>59.19</v>
      </c>
      <c r="H79" s="60" t="n">
        <v>19.5</v>
      </c>
      <c r="I79" s="58">
        <f>IF(D79="","",B79*D79/100)</f>
        <v/>
      </c>
      <c r="J79" s="56" t="n">
        <v>9</v>
      </c>
      <c r="K79" s="68" t="n">
        <v>1677</v>
      </c>
      <c r="L79" s="56" t="n">
        <v>30</v>
      </c>
      <c r="M79" s="56" t="n">
        <v>80</v>
      </c>
      <c r="N79" s="58">
        <f>AVERAGEIFS($B$4:$B$147,$A$4:$A$147,"&gt;"&amp;$A79-7,$A$4:$A$147,"&lt;="&amp;$A79)</f>
        <v/>
      </c>
      <c r="O79" s="58">
        <f>AVERAGEIFS($D$4:$D$147,$A$4:$A$147,"&gt;"&amp;$A79-7,$A$4:$A$147,"&lt;="&amp;$A79)</f>
        <v/>
      </c>
      <c r="P79" s="58">
        <f>AVERAGEIFS($G$4:$G$147,$A$4:$A$147,"&gt;"&amp;$A79-7,$A$4:$A$147,"&lt;="&amp;$A79)</f>
        <v/>
      </c>
      <c r="Q79" s="55">
        <f>INT(A79)</f>
        <v/>
      </c>
      <c r="R79" s="69" t="n">
        <v>46105.31875</v>
      </c>
    </row>
    <row r="80">
      <c r="A80" s="67" t="n">
        <v>46105.32083333333</v>
      </c>
      <c r="B80" s="58" t="n">
        <v>80.51000000000001</v>
      </c>
      <c r="C80" s="58" t="n">
        <v>25.409668</v>
      </c>
      <c r="D80" s="60" t="n">
        <v>22.7</v>
      </c>
      <c r="E80" s="60" t="n">
        <v>54.1</v>
      </c>
      <c r="F80" s="58" t="n">
        <v>3.1</v>
      </c>
      <c r="G80" s="58" t="n">
        <v>59.19</v>
      </c>
      <c r="H80" s="60" t="n">
        <v>19.5</v>
      </c>
      <c r="I80" s="58">
        <f>IF(D80="","",B80*D80/100)</f>
        <v/>
      </c>
      <c r="J80" s="56" t="n">
        <v>9</v>
      </c>
      <c r="K80" s="68" t="n">
        <v>1677</v>
      </c>
      <c r="L80" s="56" t="n">
        <v>30</v>
      </c>
      <c r="M80" s="56" t="n">
        <v>80</v>
      </c>
      <c r="N80" s="58">
        <f>AVERAGEIFS($B$4:$B$147,$A$4:$A$147,"&gt;"&amp;$A80-7,$A$4:$A$147,"&lt;="&amp;$A80)</f>
        <v/>
      </c>
      <c r="O80" s="58">
        <f>AVERAGEIFS($D$4:$D$147,$A$4:$A$147,"&gt;"&amp;$A80-7,$A$4:$A$147,"&lt;="&amp;$A80)</f>
        <v/>
      </c>
      <c r="P80" s="58">
        <f>AVERAGEIFS($G$4:$G$147,$A$4:$A$147,"&gt;"&amp;$A80-7,$A$4:$A$147,"&lt;="&amp;$A80)</f>
        <v/>
      </c>
      <c r="Q80" s="55">
        <f>INT(A80)</f>
        <v/>
      </c>
      <c r="R80" s="69" t="n">
        <v>46105.32083333333</v>
      </c>
    </row>
    <row r="81">
      <c r="A81" s="67" t="n">
        <v>46106.29375</v>
      </c>
      <c r="B81" s="58" t="n">
        <v>80.43000000000001</v>
      </c>
      <c r="C81" s="58" t="n">
        <v>25.38655</v>
      </c>
      <c r="D81" s="60" t="n">
        <v>22.7</v>
      </c>
      <c r="E81" s="60" t="n">
        <v>54.1</v>
      </c>
      <c r="F81" s="58" t="n">
        <v>3.1</v>
      </c>
      <c r="G81" s="58" t="n">
        <v>59.71</v>
      </c>
      <c r="H81" s="60" t="n">
        <v>19.5</v>
      </c>
      <c r="I81" s="58">
        <f>IF(D81="","",B81*D81/100)</f>
        <v/>
      </c>
      <c r="J81" s="56" t="n">
        <v>9</v>
      </c>
      <c r="K81" s="68" t="n">
        <v>1679</v>
      </c>
      <c r="L81" s="56" t="n">
        <v>30</v>
      </c>
      <c r="M81" s="56" t="n">
        <v>80</v>
      </c>
      <c r="N81" s="58">
        <f>AVERAGEIFS($B$4:$B$147,$A$4:$A$147,"&gt;"&amp;$A81-7,$A$4:$A$147,"&lt;="&amp;$A81)</f>
        <v/>
      </c>
      <c r="O81" s="58">
        <f>AVERAGEIFS($D$4:$D$147,$A$4:$A$147,"&gt;"&amp;$A81-7,$A$4:$A$147,"&lt;="&amp;$A81)</f>
        <v/>
      </c>
      <c r="P81" s="58">
        <f>AVERAGEIFS($G$4:$G$147,$A$4:$A$147,"&gt;"&amp;$A81-7,$A$4:$A$147,"&lt;="&amp;$A81)</f>
        <v/>
      </c>
      <c r="Q81" s="55">
        <f>INT(A81)</f>
        <v/>
      </c>
      <c r="R81" s="69" t="n">
        <v>46106.29375</v>
      </c>
    </row>
    <row r="82">
      <c r="A82" s="67" t="n">
        <v>46107.31458333333</v>
      </c>
      <c r="B82" s="58" t="n">
        <v>80.23999999999999</v>
      </c>
      <c r="C82" s="58" t="n">
        <v>25.324225</v>
      </c>
      <c r="D82" s="60" t="n">
        <v>22</v>
      </c>
      <c r="E82" s="60" t="n">
        <v>54.6</v>
      </c>
      <c r="F82" s="58" t="n">
        <v>3.1</v>
      </c>
      <c r="G82" s="58" t="n">
        <v>59.02</v>
      </c>
      <c r="H82" s="60" t="n">
        <v>19.5</v>
      </c>
      <c r="I82" s="58">
        <f>IF(D82="","",B82*D82/100)</f>
        <v/>
      </c>
      <c r="J82" s="56" t="n">
        <v>9</v>
      </c>
      <c r="K82" s="68" t="n">
        <v>1677</v>
      </c>
      <c r="L82" s="56" t="n">
        <v>30</v>
      </c>
      <c r="M82" s="56" t="n">
        <v>80</v>
      </c>
      <c r="N82" s="58">
        <f>AVERAGEIFS($B$4:$B$147,$A$4:$A$147,"&gt;"&amp;$A82-7,$A$4:$A$147,"&lt;="&amp;$A82)</f>
        <v/>
      </c>
      <c r="O82" s="58">
        <f>AVERAGEIFS($D$4:$D$147,$A$4:$A$147,"&gt;"&amp;$A82-7,$A$4:$A$147,"&lt;="&amp;$A82)</f>
        <v/>
      </c>
      <c r="P82" s="58">
        <f>AVERAGEIFS($G$4:$G$147,$A$4:$A$147,"&gt;"&amp;$A82-7,$A$4:$A$147,"&lt;="&amp;$A82)</f>
        <v/>
      </c>
      <c r="Q82" s="55">
        <f>INT(A82)</f>
        <v/>
      </c>
      <c r="R82" s="69" t="n">
        <v>46107.31458333333</v>
      </c>
    </row>
    <row r="83">
      <c r="A83" s="67" t="n">
        <v>46108.29236111111</v>
      </c>
      <c r="B83" s="58" t="n">
        <v>80.17</v>
      </c>
      <c r="C83" s="58" t="n">
        <v>25.304006</v>
      </c>
      <c r="D83" s="60" t="n">
        <v>22.4</v>
      </c>
      <c r="E83" s="60" t="n">
        <v>54.3</v>
      </c>
      <c r="F83" s="58" t="n">
        <v>3.1</v>
      </c>
      <c r="G83" s="58" t="n">
        <v>59.17</v>
      </c>
      <c r="H83" s="60" t="n">
        <v>19.5</v>
      </c>
      <c r="I83" s="58">
        <f>IF(D83="","",B83*D83/100)</f>
        <v/>
      </c>
      <c r="J83" s="56" t="n">
        <v>9</v>
      </c>
      <c r="K83" s="68" t="n">
        <v>1677</v>
      </c>
      <c r="L83" s="56" t="n">
        <v>30</v>
      </c>
      <c r="M83" s="56" t="n">
        <v>80</v>
      </c>
      <c r="N83" s="58">
        <f>AVERAGEIFS($B$4:$B$147,$A$4:$A$147,"&gt;"&amp;$A83-7,$A$4:$A$147,"&lt;="&amp;$A83)</f>
        <v/>
      </c>
      <c r="O83" s="58">
        <f>AVERAGEIFS($D$4:$D$147,$A$4:$A$147,"&gt;"&amp;$A83-7,$A$4:$A$147,"&lt;="&amp;$A83)</f>
        <v/>
      </c>
      <c r="P83" s="58">
        <f>AVERAGEIFS($G$4:$G$147,$A$4:$A$147,"&gt;"&amp;$A83-7,$A$4:$A$147,"&lt;="&amp;$A83)</f>
        <v/>
      </c>
      <c r="Q83" s="55">
        <f>INT(A83)</f>
        <v/>
      </c>
      <c r="R83" s="69" t="n">
        <v>46108.29236111111</v>
      </c>
    </row>
    <row r="84">
      <c r="A84" s="67" t="n">
        <v>46110.425</v>
      </c>
      <c r="B84" s="58" t="n">
        <v>79.81999999999999</v>
      </c>
      <c r="C84" s="58" t="n">
        <v>25.191967</v>
      </c>
      <c r="D84" s="60" t="n">
        <v>22.2</v>
      </c>
      <c r="E84" s="60" t="n">
        <v>54.5</v>
      </c>
      <c r="F84" s="58" t="n">
        <v>3.1</v>
      </c>
      <c r="G84" s="58" t="n">
        <v>58.82</v>
      </c>
      <c r="H84" s="60" t="n">
        <v>19.5</v>
      </c>
      <c r="I84" s="58">
        <f>IF(D84="","",B84*D84/100)</f>
        <v/>
      </c>
      <c r="J84" s="56" t="n">
        <v>9</v>
      </c>
      <c r="K84" s="68" t="n">
        <v>1676</v>
      </c>
      <c r="L84" s="56" t="n">
        <v>30</v>
      </c>
      <c r="M84" s="56" t="n">
        <v>80</v>
      </c>
      <c r="N84" s="58">
        <f>AVERAGEIFS($B$4:$B$147,$A$4:$A$147,"&gt;"&amp;$A84-7,$A$4:$A$147,"&lt;="&amp;$A84)</f>
        <v/>
      </c>
      <c r="O84" s="58">
        <f>AVERAGEIFS($D$4:$D$147,$A$4:$A$147,"&gt;"&amp;$A84-7,$A$4:$A$147,"&lt;="&amp;$A84)</f>
        <v/>
      </c>
      <c r="P84" s="58">
        <f>AVERAGEIFS($G$4:$G$147,$A$4:$A$147,"&gt;"&amp;$A84-7,$A$4:$A$147,"&lt;="&amp;$A84)</f>
        <v/>
      </c>
      <c r="Q84" s="55">
        <f>INT(A84)</f>
        <v/>
      </c>
      <c r="R84" s="69" t="n">
        <v>46110.38333333333</v>
      </c>
    </row>
    <row r="85">
      <c r="A85" s="67" t="n">
        <v>46111.32083333333</v>
      </c>
      <c r="B85" s="58" t="n">
        <v>80.2</v>
      </c>
      <c r="C85" s="58" t="n">
        <v>25.312724</v>
      </c>
      <c r="D85" s="60" t="n">
        <v>21.4</v>
      </c>
      <c r="E85" s="60" t="n">
        <v>55</v>
      </c>
      <c r="F85" s="58" t="n">
        <v>3.1</v>
      </c>
      <c r="G85" s="58" t="n">
        <v>59.17</v>
      </c>
      <c r="H85" s="60" t="n">
        <v>19.5</v>
      </c>
      <c r="I85" s="58">
        <f>IF(D85="","",B85*D85/100)</f>
        <v/>
      </c>
      <c r="J85" s="56" t="n">
        <v>9</v>
      </c>
      <c r="K85" s="68" t="n">
        <v>1677</v>
      </c>
      <c r="L85" s="56" t="n">
        <v>30</v>
      </c>
      <c r="M85" s="56" t="n">
        <v>80</v>
      </c>
      <c r="N85" s="58">
        <f>AVERAGEIFS($B$4:$B$147,$A$4:$A$147,"&gt;"&amp;$A85-7,$A$4:$A$147,"&lt;="&amp;$A85)</f>
        <v/>
      </c>
      <c r="O85" s="58">
        <f>AVERAGEIFS($D$4:$D$147,$A$4:$A$147,"&gt;"&amp;$A85-7,$A$4:$A$147,"&lt;="&amp;$A85)</f>
        <v/>
      </c>
      <c r="P85" s="58">
        <f>AVERAGEIFS($G$4:$G$147,$A$4:$A$147,"&gt;"&amp;$A85-7,$A$4:$A$147,"&lt;="&amp;$A85)</f>
        <v/>
      </c>
      <c r="Q85" s="55">
        <f>INT(A85)</f>
        <v/>
      </c>
      <c r="R85" s="69" t="n">
        <v>46111.27916666667</v>
      </c>
    </row>
    <row r="86">
      <c r="A86" s="67" t="n">
        <v>46112.31388888889</v>
      </c>
      <c r="B86" s="58" t="n">
        <v>79.90000000000001</v>
      </c>
      <c r="C86" s="58" t="n">
        <v>25.217819</v>
      </c>
      <c r="D86" s="60" t="n">
        <v>22.4</v>
      </c>
      <c r="E86" s="60" t="n">
        <v>54.3</v>
      </c>
      <c r="F86" s="58" t="n">
        <v>3.1</v>
      </c>
      <c r="G86" s="58" t="n">
        <v>59.18</v>
      </c>
      <c r="H86" s="60" t="n">
        <v>19.5</v>
      </c>
      <c r="I86" s="58">
        <f>IF(D86="","",B86*D86/100)</f>
        <v/>
      </c>
      <c r="J86" s="56" t="n">
        <v>9</v>
      </c>
      <c r="K86" s="68" t="n">
        <v>1677</v>
      </c>
      <c r="L86" s="56" t="n">
        <v>30</v>
      </c>
      <c r="M86" s="56" t="n">
        <v>80</v>
      </c>
      <c r="N86" s="58">
        <f>AVERAGEIFS($B$4:$B$147,$A$4:$A$147,"&gt;"&amp;$A86-7,$A$4:$A$147,"&lt;="&amp;$A86)</f>
        <v/>
      </c>
      <c r="O86" s="58">
        <f>AVERAGEIFS($D$4:$D$147,$A$4:$A$147,"&gt;"&amp;$A86-7,$A$4:$A$147,"&lt;="&amp;$A86)</f>
        <v/>
      </c>
      <c r="P86" s="58">
        <f>AVERAGEIFS($G$4:$G$147,$A$4:$A$147,"&gt;"&amp;$A86-7,$A$4:$A$147,"&lt;="&amp;$A86)</f>
        <v/>
      </c>
      <c r="Q86" s="55">
        <f>INT(A86)</f>
        <v/>
      </c>
      <c r="R86" s="69" t="n">
        <v>46112.27222222222</v>
      </c>
    </row>
    <row r="87">
      <c r="A87" s="67" t="n">
        <v>46113.32361111111</v>
      </c>
      <c r="B87" s="58" t="n">
        <v>80.17</v>
      </c>
      <c r="C87" s="58" t="n">
        <v>25.303307</v>
      </c>
      <c r="D87" s="60" t="n">
        <v>21.8</v>
      </c>
      <c r="E87" s="60" t="n">
        <v>54.7</v>
      </c>
      <c r="F87" s="58" t="n">
        <v>3.1</v>
      </c>
      <c r="G87" s="58" t="n">
        <v>58.96</v>
      </c>
      <c r="H87" s="60" t="n">
        <v>19.5</v>
      </c>
      <c r="I87" s="58">
        <f>IF(D87="","",B87*D87/100)</f>
        <v/>
      </c>
      <c r="J87" s="56" t="n">
        <v>9</v>
      </c>
      <c r="K87" s="68" t="n">
        <v>1676</v>
      </c>
      <c r="L87" s="56" t="n">
        <v>30</v>
      </c>
      <c r="M87" s="56" t="n">
        <v>80</v>
      </c>
      <c r="N87" s="58">
        <f>AVERAGEIFS($B$4:$B$147,$A$4:$A$147,"&gt;"&amp;$A87-7,$A$4:$A$147,"&lt;="&amp;$A87)</f>
        <v/>
      </c>
      <c r="O87" s="58">
        <f>AVERAGEIFS($D$4:$D$147,$A$4:$A$147,"&gt;"&amp;$A87-7,$A$4:$A$147,"&lt;="&amp;$A87)</f>
        <v/>
      </c>
      <c r="P87" s="58">
        <f>AVERAGEIFS($G$4:$G$147,$A$4:$A$147,"&gt;"&amp;$A87-7,$A$4:$A$147,"&lt;="&amp;$A87)</f>
        <v/>
      </c>
      <c r="Q87" s="55">
        <f>INT(A87)</f>
        <v/>
      </c>
      <c r="R87" s="69" t="n">
        <v>46113.28194444445</v>
      </c>
    </row>
    <row r="88">
      <c r="A88" s="67" t="n">
        <v>46114.29375</v>
      </c>
      <c r="B88" s="58" t="n">
        <v>79.92</v>
      </c>
      <c r="C88" s="58" t="n">
        <v>25.225401</v>
      </c>
      <c r="D88" s="60" t="n">
        <v>22</v>
      </c>
      <c r="E88" s="60" t="n">
        <v>54.6</v>
      </c>
      <c r="F88" s="58" t="n">
        <v>3.1</v>
      </c>
      <c r="G88" s="58" t="n">
        <v>58.79</v>
      </c>
      <c r="H88" s="60" t="n">
        <v>19.5</v>
      </c>
      <c r="I88" s="58">
        <f>IF(D88="","",B88*D88/100)</f>
        <v/>
      </c>
      <c r="J88" s="56" t="n">
        <v>9</v>
      </c>
      <c r="K88" s="68" t="n">
        <v>1676</v>
      </c>
      <c r="L88" s="56" t="n">
        <v>30</v>
      </c>
      <c r="M88" s="56" t="n">
        <v>80</v>
      </c>
      <c r="N88" s="58">
        <f>AVERAGEIFS($B$4:$B$147,$A$4:$A$147,"&gt;"&amp;$A88-7,$A$4:$A$147,"&lt;="&amp;$A88)</f>
        <v/>
      </c>
      <c r="O88" s="58">
        <f>AVERAGEIFS($D$4:$D$147,$A$4:$A$147,"&gt;"&amp;$A88-7,$A$4:$A$147,"&lt;="&amp;$A88)</f>
        <v/>
      </c>
      <c r="P88" s="58">
        <f>AVERAGEIFS($G$4:$G$147,$A$4:$A$147,"&gt;"&amp;$A88-7,$A$4:$A$147,"&lt;="&amp;$A88)</f>
        <v/>
      </c>
      <c r="Q88" s="55">
        <f>INT(A88)</f>
        <v/>
      </c>
      <c r="R88" s="69" t="n">
        <v>46114.25208333333</v>
      </c>
    </row>
    <row r="89">
      <c r="A89" s="67" t="n">
        <v>46115.29375</v>
      </c>
      <c r="B89" s="58" t="n">
        <v>79.34</v>
      </c>
      <c r="C89" s="58" t="n">
        <v>25.039686</v>
      </c>
      <c r="D89" s="60" t="n">
        <v>22.7</v>
      </c>
      <c r="E89" s="60" t="n">
        <v>54.1</v>
      </c>
      <c r="F89" s="58" t="n">
        <v>3.1</v>
      </c>
      <c r="G89" s="58" t="n">
        <v>59.39</v>
      </c>
      <c r="H89" s="60" t="n">
        <v>19.5</v>
      </c>
      <c r="I89" s="58">
        <f>IF(D89="","",B89*D89/100)</f>
        <v/>
      </c>
      <c r="J89" s="56" t="n">
        <v>9</v>
      </c>
      <c r="K89" s="68" t="n">
        <v>1678</v>
      </c>
      <c r="L89" s="56" t="n">
        <v>30</v>
      </c>
      <c r="M89" s="56" t="n">
        <v>80</v>
      </c>
      <c r="N89" s="58">
        <f>AVERAGEIFS($B$4:$B$147,$A$4:$A$147,"&gt;"&amp;$A89-7,$A$4:$A$147,"&lt;="&amp;$A89)</f>
        <v/>
      </c>
      <c r="O89" s="58">
        <f>AVERAGEIFS($D$4:$D$147,$A$4:$A$147,"&gt;"&amp;$A89-7,$A$4:$A$147,"&lt;="&amp;$A89)</f>
        <v/>
      </c>
      <c r="P89" s="58">
        <f>AVERAGEIFS($G$4:$G$147,$A$4:$A$147,"&gt;"&amp;$A89-7,$A$4:$A$147,"&lt;="&amp;$A89)</f>
        <v/>
      </c>
      <c r="Q89" s="55">
        <f>INT(A89)</f>
        <v/>
      </c>
      <c r="R89" s="69" t="n">
        <v>46115.25208333333</v>
      </c>
    </row>
    <row r="90">
      <c r="A90" s="67" t="n">
        <v>46116.44583333333</v>
      </c>
      <c r="B90" s="58" t="n">
        <v>80.27</v>
      </c>
      <c r="C90" s="58" t="n">
        <v>25.333022</v>
      </c>
      <c r="D90" s="60" t="n">
        <v>21.9</v>
      </c>
      <c r="E90" s="60" t="n">
        <v>54.7</v>
      </c>
      <c r="F90" s="58" t="n">
        <v>3.1</v>
      </c>
      <c r="G90" s="58" t="n">
        <v>59.11</v>
      </c>
      <c r="H90" s="60" t="n">
        <v>19.5</v>
      </c>
      <c r="I90" s="58">
        <f>IF(D90="","",B90*D90/100)</f>
        <v/>
      </c>
      <c r="J90" s="56" t="n">
        <v>9</v>
      </c>
      <c r="K90" s="68" t="n">
        <v>1677</v>
      </c>
      <c r="L90" s="56" t="n">
        <v>30</v>
      </c>
      <c r="M90" s="56" t="n">
        <v>80</v>
      </c>
      <c r="N90" s="58">
        <f>AVERAGEIFS($B$4:$B$147,$A$4:$A$147,"&gt;"&amp;$A90-7,$A$4:$A$147,"&lt;="&amp;$A90)</f>
        <v/>
      </c>
      <c r="O90" s="58">
        <f>AVERAGEIFS($D$4:$D$147,$A$4:$A$147,"&gt;"&amp;$A90-7,$A$4:$A$147,"&lt;="&amp;$A90)</f>
        <v/>
      </c>
      <c r="P90" s="58">
        <f>AVERAGEIFS($G$4:$G$147,$A$4:$A$147,"&gt;"&amp;$A90-7,$A$4:$A$147,"&lt;="&amp;$A90)</f>
        <v/>
      </c>
      <c r="Q90" s="55">
        <f>INT(A90)</f>
        <v/>
      </c>
      <c r="R90" s="69" t="n">
        <v>46116.40416666667</v>
      </c>
    </row>
    <row r="91">
      <c r="A91" s="67" t="n">
        <v>46117.42847222222</v>
      </c>
      <c r="B91" s="58" t="n">
        <v>79.65000000000001</v>
      </c>
      <c r="C91" s="58" t="n">
        <v>25.140029</v>
      </c>
      <c r="D91" s="60" t="n">
        <v>21.7</v>
      </c>
      <c r="E91" s="60" t="n">
        <v>54.8</v>
      </c>
      <c r="F91" s="58" t="n">
        <v>3.1</v>
      </c>
      <c r="G91" s="58" t="n">
        <v>59.2</v>
      </c>
      <c r="H91" s="60" t="n">
        <v>19.5</v>
      </c>
      <c r="I91" s="58">
        <f>IF(D91="","",B91*D91/100)</f>
        <v/>
      </c>
      <c r="J91" s="56" t="n">
        <v>9</v>
      </c>
      <c r="K91" s="68" t="n">
        <v>1677</v>
      </c>
      <c r="L91" s="56" t="n">
        <v>30</v>
      </c>
      <c r="M91" s="56" t="n">
        <v>80</v>
      </c>
      <c r="N91" s="58">
        <f>AVERAGEIFS($B$4:$B$147,$A$4:$A$147,"&gt;"&amp;$A91-7,$A$4:$A$147,"&lt;="&amp;$A91)</f>
        <v/>
      </c>
      <c r="O91" s="58">
        <f>AVERAGEIFS($D$4:$D$147,$A$4:$A$147,"&gt;"&amp;$A91-7,$A$4:$A$147,"&lt;="&amp;$A91)</f>
        <v/>
      </c>
      <c r="P91" s="58">
        <f>AVERAGEIFS($G$4:$G$147,$A$4:$A$147,"&gt;"&amp;$A91-7,$A$4:$A$147,"&lt;="&amp;$A91)</f>
        <v/>
      </c>
      <c r="Q91" s="55">
        <f>INT(A91)</f>
        <v/>
      </c>
      <c r="R91" s="69" t="n">
        <v>46117.38680555556</v>
      </c>
    </row>
    <row r="92">
      <c r="A92" s="67" t="n">
        <v>46118.31597222222</v>
      </c>
      <c r="B92" s="58" t="n">
        <v>79.67</v>
      </c>
      <c r="C92" s="58" t="n">
        <v>25.143718</v>
      </c>
      <c r="D92" s="60" t="n">
        <v>22</v>
      </c>
      <c r="E92" s="60" t="n">
        <v>54.6</v>
      </c>
      <c r="F92" s="58" t="n">
        <v>3.1</v>
      </c>
      <c r="G92" s="58" t="n">
        <v>59.26</v>
      </c>
      <c r="H92" s="60" t="n">
        <v>19.5</v>
      </c>
      <c r="I92" s="58">
        <f>IF(D92="","",B92*D92/100)</f>
        <v/>
      </c>
      <c r="J92" s="56" t="n">
        <v>9</v>
      </c>
      <c r="K92" s="68" t="n">
        <v>1677</v>
      </c>
      <c r="L92" s="56" t="n">
        <v>30</v>
      </c>
      <c r="M92" s="56" t="n">
        <v>80</v>
      </c>
      <c r="N92" s="58">
        <f>AVERAGEIFS($B$4:$B$147,$A$4:$A$147,"&gt;"&amp;$A92-7,$A$4:$A$147,"&lt;="&amp;$A92)</f>
        <v/>
      </c>
      <c r="O92" s="58">
        <f>AVERAGEIFS($D$4:$D$147,$A$4:$A$147,"&gt;"&amp;$A92-7,$A$4:$A$147,"&lt;="&amp;$A92)</f>
        <v/>
      </c>
      <c r="P92" s="58">
        <f>AVERAGEIFS($G$4:$G$147,$A$4:$A$147,"&gt;"&amp;$A92-7,$A$4:$A$147,"&lt;="&amp;$A92)</f>
        <v/>
      </c>
      <c r="Q92" s="55">
        <f>INT(A92)</f>
        <v/>
      </c>
      <c r="R92" s="69" t="n">
        <v>46118.27430555555</v>
      </c>
    </row>
    <row r="93">
      <c r="A93" s="67" t="n">
        <v>46119.30625</v>
      </c>
      <c r="B93" s="58" t="n">
        <v>79.48999999999999</v>
      </c>
      <c r="C93" s="58" t="n">
        <v>25.089869</v>
      </c>
      <c r="D93" s="60" t="n">
        <v>21.6</v>
      </c>
      <c r="E93" s="60" t="n">
        <v>54.9</v>
      </c>
      <c r="F93" s="58" t="n">
        <v>3.1</v>
      </c>
      <c r="G93" s="58" t="n">
        <v>59.32</v>
      </c>
      <c r="H93" s="60" t="n">
        <v>19.5</v>
      </c>
      <c r="I93" s="58">
        <f>IF(D93="","",B93*D93/100)</f>
        <v/>
      </c>
      <c r="J93" s="56" t="n">
        <v>9</v>
      </c>
      <c r="K93" s="68" t="n">
        <v>1677</v>
      </c>
      <c r="L93" s="56" t="n">
        <v>30</v>
      </c>
      <c r="M93" s="56" t="n">
        <v>80</v>
      </c>
      <c r="N93" s="58">
        <f>AVERAGEIFS($B$4:$B$147,$A$4:$A$147,"&gt;"&amp;$A93-7,$A$4:$A$147,"&lt;="&amp;$A93)</f>
        <v/>
      </c>
      <c r="O93" s="58">
        <f>AVERAGEIFS($D$4:$D$147,$A$4:$A$147,"&gt;"&amp;$A93-7,$A$4:$A$147,"&lt;="&amp;$A93)</f>
        <v/>
      </c>
      <c r="P93" s="58">
        <f>AVERAGEIFS($G$4:$G$147,$A$4:$A$147,"&gt;"&amp;$A93-7,$A$4:$A$147,"&lt;="&amp;$A93)</f>
        <v/>
      </c>
      <c r="Q93" s="55">
        <f>INT(A93)</f>
        <v/>
      </c>
      <c r="R93" s="69" t="n">
        <v>46119.26458333333</v>
      </c>
    </row>
    <row r="94">
      <c r="A94" s="67" t="n">
        <v>46120.3</v>
      </c>
      <c r="B94" s="58" t="n">
        <v>79.62</v>
      </c>
      <c r="C94" s="58" t="n">
        <v>25.129485</v>
      </c>
      <c r="D94" s="60" t="n">
        <v>22.6</v>
      </c>
      <c r="E94" s="60" t="n">
        <v>54.2</v>
      </c>
      <c r="F94" s="58" t="n">
        <v>3.1</v>
      </c>
      <c r="G94" s="58" t="n">
        <v>59.51</v>
      </c>
      <c r="H94" s="60" t="n">
        <v>19.5</v>
      </c>
      <c r="I94" s="58">
        <f>IF(D94="","",B94*D94/100)</f>
        <v/>
      </c>
      <c r="J94" s="56" t="n">
        <v>9</v>
      </c>
      <c r="K94" s="68" t="n">
        <v>1678</v>
      </c>
      <c r="L94" s="56" t="n">
        <v>30</v>
      </c>
      <c r="M94" s="56" t="n">
        <v>80</v>
      </c>
      <c r="N94" s="58">
        <f>AVERAGEIFS($B$4:$B$147,$A$4:$A$147,"&gt;"&amp;$A94-7,$A$4:$A$147,"&lt;="&amp;$A94)</f>
        <v/>
      </c>
      <c r="O94" s="58">
        <f>AVERAGEIFS($D$4:$D$147,$A$4:$A$147,"&gt;"&amp;$A94-7,$A$4:$A$147,"&lt;="&amp;$A94)</f>
        <v/>
      </c>
      <c r="P94" s="58">
        <f>AVERAGEIFS($G$4:$G$147,$A$4:$A$147,"&gt;"&amp;$A94-7,$A$4:$A$147,"&lt;="&amp;$A94)</f>
        <v/>
      </c>
      <c r="Q94" s="55">
        <f>INT(A94)</f>
        <v/>
      </c>
      <c r="R94" s="69" t="n">
        <v>46120.25833333333</v>
      </c>
    </row>
    <row r="95">
      <c r="A95" s="67" t="n">
        <v>46121.31736111111</v>
      </c>
      <c r="B95" s="58" t="n">
        <v>79.92</v>
      </c>
      <c r="C95" s="58" t="n">
        <v>25.222583</v>
      </c>
      <c r="D95" s="60" t="n">
        <v>21.9</v>
      </c>
      <c r="E95" s="60" t="n">
        <v>54.7</v>
      </c>
      <c r="F95" s="58" t="n">
        <v>3.1</v>
      </c>
      <c r="G95" s="58" t="n">
        <v>59.13</v>
      </c>
      <c r="H95" s="60" t="n">
        <v>19.5</v>
      </c>
      <c r="I95" s="58">
        <f>IF(D95="","",B95*D95/100)</f>
        <v/>
      </c>
      <c r="J95" s="56" t="n">
        <v>9</v>
      </c>
      <c r="K95" s="68" t="n">
        <v>1677</v>
      </c>
      <c r="L95" s="56" t="n">
        <v>30</v>
      </c>
      <c r="M95" s="56" t="n">
        <v>80</v>
      </c>
      <c r="N95" s="58">
        <f>AVERAGEIFS($B$4:$B$147,$A$4:$A$147,"&gt;"&amp;$A95-7,$A$4:$A$147,"&lt;="&amp;$A95)</f>
        <v/>
      </c>
      <c r="O95" s="58">
        <f>AVERAGEIFS($D$4:$D$147,$A$4:$A$147,"&gt;"&amp;$A95-7,$A$4:$A$147,"&lt;="&amp;$A95)</f>
        <v/>
      </c>
      <c r="P95" s="58">
        <f>AVERAGEIFS($G$4:$G$147,$A$4:$A$147,"&gt;"&amp;$A95-7,$A$4:$A$147,"&lt;="&amp;$A95)</f>
        <v/>
      </c>
      <c r="Q95" s="55">
        <f>INT(A95)</f>
        <v/>
      </c>
      <c r="R95" s="69" t="n">
        <v>46121.27569444444</v>
      </c>
    </row>
    <row r="96">
      <c r="A96" s="67" t="n">
        <v>46122.30138888889</v>
      </c>
      <c r="B96" s="58" t="n">
        <v>80.28</v>
      </c>
      <c r="C96" s="58" t="n">
        <v>25.33739</v>
      </c>
      <c r="D96" s="60" t="n">
        <v>22.3</v>
      </c>
      <c r="E96" s="60" t="n">
        <v>54.4</v>
      </c>
      <c r="F96" s="58" t="n">
        <v>3.1</v>
      </c>
      <c r="G96" s="58" t="n">
        <v>59.2</v>
      </c>
      <c r="H96" s="60" t="n">
        <v>19.5</v>
      </c>
      <c r="I96" s="58">
        <f>IF(D96="","",B96*D96/100)</f>
        <v/>
      </c>
      <c r="J96" s="56" t="n">
        <v>9</v>
      </c>
      <c r="K96" s="68" t="n">
        <v>1677</v>
      </c>
      <c r="L96" s="56" t="n">
        <v>30</v>
      </c>
      <c r="M96" s="56" t="n">
        <v>80</v>
      </c>
      <c r="N96" s="58">
        <f>AVERAGEIFS($B$4:$B$147,$A$4:$A$147,"&gt;"&amp;$A96-7,$A$4:$A$147,"&lt;="&amp;$A96)</f>
        <v/>
      </c>
      <c r="O96" s="58">
        <f>AVERAGEIFS($D$4:$D$147,$A$4:$A$147,"&gt;"&amp;$A96-7,$A$4:$A$147,"&lt;="&amp;$A96)</f>
        <v/>
      </c>
      <c r="P96" s="58">
        <f>AVERAGEIFS($G$4:$G$147,$A$4:$A$147,"&gt;"&amp;$A96-7,$A$4:$A$147,"&lt;="&amp;$A96)</f>
        <v/>
      </c>
      <c r="Q96" s="55">
        <f>INT(A96)</f>
        <v/>
      </c>
      <c r="R96" s="69" t="n">
        <v>46122.25972222222</v>
      </c>
    </row>
    <row r="97">
      <c r="A97" s="67" t="n">
        <v>46123.45138888889</v>
      </c>
      <c r="B97" s="58" t="n">
        <v>79.31</v>
      </c>
      <c r="C97" s="58" t="n">
        <v>25.031979</v>
      </c>
      <c r="D97" s="60" t="n">
        <v>22.1</v>
      </c>
      <c r="E97" s="60" t="n">
        <v>54.6</v>
      </c>
      <c r="F97" s="58" t="n">
        <v>3.1</v>
      </c>
      <c r="G97" s="58" t="n">
        <v>58.94</v>
      </c>
      <c r="H97" s="60" t="n">
        <v>19.5</v>
      </c>
      <c r="I97" s="58">
        <f>IF(D97="","",B97*D97/100)</f>
        <v/>
      </c>
      <c r="J97" s="56" t="n">
        <v>9</v>
      </c>
      <c r="K97" s="68" t="n">
        <v>1676</v>
      </c>
      <c r="L97" s="56" t="n">
        <v>30</v>
      </c>
      <c r="M97" s="56" t="n">
        <v>80</v>
      </c>
      <c r="N97" s="58">
        <f>AVERAGEIFS($B$4:$B$147,$A$4:$A$147,"&gt;"&amp;$A97-7,$A$4:$A$147,"&lt;="&amp;$A97)</f>
        <v/>
      </c>
      <c r="O97" s="58">
        <f>AVERAGEIFS($D$4:$D$147,$A$4:$A$147,"&gt;"&amp;$A97-7,$A$4:$A$147,"&lt;="&amp;$A97)</f>
        <v/>
      </c>
      <c r="P97" s="58">
        <f>AVERAGEIFS($G$4:$G$147,$A$4:$A$147,"&gt;"&amp;$A97-7,$A$4:$A$147,"&lt;="&amp;$A97)</f>
        <v/>
      </c>
      <c r="Q97" s="55">
        <f>INT(A97)</f>
        <v/>
      </c>
      <c r="R97" s="69" t="n">
        <v>46123.40972222222</v>
      </c>
    </row>
    <row r="98">
      <c r="A98" s="67" t="n">
        <v>46124.43819444445</v>
      </c>
      <c r="B98" s="58" t="n">
        <v>79.76000000000001</v>
      </c>
      <c r="C98" s="58" t="n">
        <v>25.173076</v>
      </c>
      <c r="D98" s="60" t="n">
        <v>22.3</v>
      </c>
      <c r="E98" s="60" t="n">
        <v>54.4</v>
      </c>
      <c r="F98" s="58" t="n">
        <v>3.1</v>
      </c>
      <c r="G98" s="58" t="n">
        <v>59.06</v>
      </c>
      <c r="H98" s="60" t="n">
        <v>19.5</v>
      </c>
      <c r="I98" s="58">
        <f>IF(D98="","",B98*D98/100)</f>
        <v/>
      </c>
      <c r="J98" s="56" t="n">
        <v>9</v>
      </c>
      <c r="K98" s="68" t="n">
        <v>1677</v>
      </c>
      <c r="L98" s="56" t="n">
        <v>30</v>
      </c>
      <c r="M98" s="56" t="n">
        <v>80</v>
      </c>
      <c r="N98" s="58">
        <f>AVERAGEIFS($B$4:$B$147,$A$4:$A$147,"&gt;"&amp;$A98-7,$A$4:$A$147,"&lt;="&amp;$A98)</f>
        <v/>
      </c>
      <c r="O98" s="58">
        <f>AVERAGEIFS($D$4:$D$147,$A$4:$A$147,"&gt;"&amp;$A98-7,$A$4:$A$147,"&lt;="&amp;$A98)</f>
        <v/>
      </c>
      <c r="P98" s="58">
        <f>AVERAGEIFS($G$4:$G$147,$A$4:$A$147,"&gt;"&amp;$A98-7,$A$4:$A$147,"&lt;="&amp;$A98)</f>
        <v/>
      </c>
      <c r="Q98" s="55">
        <f>INT(A98)</f>
        <v/>
      </c>
      <c r="R98" s="69" t="n">
        <v>46124.39652777778</v>
      </c>
    </row>
    <row r="99">
      <c r="A99" s="67" t="n">
        <v>46125.33125</v>
      </c>
      <c r="B99" s="58" t="n">
        <v>79.3</v>
      </c>
      <c r="C99" s="58" t="n">
        <v>25.027763</v>
      </c>
      <c r="D99" s="60" t="n">
        <v>21.3</v>
      </c>
      <c r="E99" s="60" t="n">
        <v>55.1</v>
      </c>
      <c r="F99" s="58" t="n">
        <v>3.1</v>
      </c>
      <c r="G99" s="58" t="n">
        <v>59.08</v>
      </c>
      <c r="H99" s="60" t="n">
        <v>19.5</v>
      </c>
      <c r="I99" s="58">
        <f>IF(D99="","",B99*D99/100)</f>
        <v/>
      </c>
      <c r="J99" s="56" t="n">
        <v>9</v>
      </c>
      <c r="K99" s="68" t="n">
        <v>1677</v>
      </c>
      <c r="L99" s="56" t="n">
        <v>30</v>
      </c>
      <c r="M99" s="56" t="n">
        <v>80</v>
      </c>
      <c r="N99" s="58">
        <f>AVERAGEIFS($B$4:$B$147,$A$4:$A$147,"&gt;"&amp;$A99-7,$A$4:$A$147,"&lt;="&amp;$A99)</f>
        <v/>
      </c>
      <c r="O99" s="58">
        <f>AVERAGEIFS($D$4:$D$147,$A$4:$A$147,"&gt;"&amp;$A99-7,$A$4:$A$147,"&lt;="&amp;$A99)</f>
        <v/>
      </c>
      <c r="P99" s="58">
        <f>AVERAGEIFS($G$4:$G$147,$A$4:$A$147,"&gt;"&amp;$A99-7,$A$4:$A$147,"&lt;="&amp;$A99)</f>
        <v/>
      </c>
      <c r="Q99" s="55">
        <f>INT(A99)</f>
        <v/>
      </c>
      <c r="R99" s="69" t="n">
        <v>46125.28958333333</v>
      </c>
    </row>
    <row r="100">
      <c r="A100" s="67" t="n">
        <v>46126.31388888889</v>
      </c>
      <c r="B100" s="58" t="n">
        <v>79.61</v>
      </c>
      <c r="C100" s="58" t="n">
        <v>25.125144</v>
      </c>
      <c r="D100" s="60" t="n">
        <v>22</v>
      </c>
      <c r="E100" s="60" t="n">
        <v>54.6</v>
      </c>
      <c r="F100" s="58" t="n">
        <v>3.1</v>
      </c>
      <c r="G100" s="58" t="n">
        <v>58.63</v>
      </c>
      <c r="H100" s="60" t="n">
        <v>19.5</v>
      </c>
      <c r="I100" s="58">
        <f>IF(D100="","",B100*D100/100)</f>
        <v/>
      </c>
      <c r="J100" s="56" t="n">
        <v>9</v>
      </c>
      <c r="K100" s="68" t="n">
        <v>1675</v>
      </c>
      <c r="L100" s="56" t="n">
        <v>30</v>
      </c>
      <c r="M100" s="56" t="n">
        <v>80</v>
      </c>
      <c r="N100" s="58">
        <f>AVERAGEIFS($B$4:$B$147,$A$4:$A$147,"&gt;"&amp;$A100-7,$A$4:$A$147,"&lt;="&amp;$A100)</f>
        <v/>
      </c>
      <c r="O100" s="58">
        <f>AVERAGEIFS($D$4:$D$147,$A$4:$A$147,"&gt;"&amp;$A100-7,$A$4:$A$147,"&lt;="&amp;$A100)</f>
        <v/>
      </c>
      <c r="P100" s="58">
        <f>AVERAGEIFS($G$4:$G$147,$A$4:$A$147,"&gt;"&amp;$A100-7,$A$4:$A$147,"&lt;="&amp;$A100)</f>
        <v/>
      </c>
      <c r="Q100" s="55">
        <f>INT(A100)</f>
        <v/>
      </c>
      <c r="R100" s="69" t="n">
        <v>46126.27222222222</v>
      </c>
    </row>
    <row r="101">
      <c r="A101" s="67" t="n">
        <v>46127.32777777778</v>
      </c>
      <c r="B101" s="58" t="n">
        <v>79.27</v>
      </c>
      <c r="C101" s="58" t="n">
        <v>25.018439</v>
      </c>
      <c r="D101" s="60" t="n">
        <v>21.4</v>
      </c>
      <c r="E101" s="60" t="n">
        <v>55.1</v>
      </c>
      <c r="F101" s="58" t="n">
        <v>3.1</v>
      </c>
      <c r="G101" s="58" t="n">
        <v>58.68</v>
      </c>
      <c r="H101" s="60" t="n">
        <v>19.5</v>
      </c>
      <c r="I101" s="58">
        <f>IF(D101="","",B101*D101/100)</f>
        <v/>
      </c>
      <c r="J101" s="56" t="n">
        <v>9</v>
      </c>
      <c r="K101" s="68" t="n">
        <v>1676</v>
      </c>
      <c r="L101" s="56" t="n">
        <v>30</v>
      </c>
      <c r="M101" s="56" t="n">
        <v>80</v>
      </c>
      <c r="N101" s="58">
        <f>AVERAGEIFS($B$4:$B$147,$A$4:$A$147,"&gt;"&amp;$A101-7,$A$4:$A$147,"&lt;="&amp;$A101)</f>
        <v/>
      </c>
      <c r="O101" s="58">
        <f>AVERAGEIFS($D$4:$D$147,$A$4:$A$147,"&gt;"&amp;$A101-7,$A$4:$A$147,"&lt;="&amp;$A101)</f>
        <v/>
      </c>
      <c r="P101" s="58">
        <f>AVERAGEIFS($G$4:$G$147,$A$4:$A$147,"&gt;"&amp;$A101-7,$A$4:$A$147,"&lt;="&amp;$A101)</f>
        <v/>
      </c>
      <c r="Q101" s="55">
        <f>INT(A101)</f>
        <v/>
      </c>
      <c r="R101" s="69" t="n">
        <v>46127.28611111111</v>
      </c>
    </row>
    <row r="102">
      <c r="A102" s="67" t="n">
        <v>46128.32222222222</v>
      </c>
      <c r="B102" s="58" t="n">
        <v>79.15000000000001</v>
      </c>
      <c r="C102" s="58" t="n">
        <v>24.980429</v>
      </c>
      <c r="D102" s="60" t="n">
        <v>21.5</v>
      </c>
      <c r="E102" s="60" t="n">
        <v>55</v>
      </c>
      <c r="F102" s="58" t="n">
        <v>3.1</v>
      </c>
      <c r="G102" s="58" t="n">
        <v>59.44</v>
      </c>
      <c r="H102" s="60" t="n">
        <v>19.5</v>
      </c>
      <c r="I102" s="58">
        <f>IF(D102="","",B102*D102/100)</f>
        <v/>
      </c>
      <c r="J102" s="56" t="n">
        <v>9</v>
      </c>
      <c r="K102" s="68" t="n">
        <v>1678</v>
      </c>
      <c r="L102" s="56" t="n">
        <v>30</v>
      </c>
      <c r="M102" s="56" t="n">
        <v>80</v>
      </c>
      <c r="N102" s="58">
        <f>AVERAGEIFS($B$4:$B$147,$A$4:$A$147,"&gt;"&amp;$A102-7,$A$4:$A$147,"&lt;="&amp;$A102)</f>
        <v/>
      </c>
      <c r="O102" s="58">
        <f>AVERAGEIFS($D$4:$D$147,$A$4:$A$147,"&gt;"&amp;$A102-7,$A$4:$A$147,"&lt;="&amp;$A102)</f>
        <v/>
      </c>
      <c r="P102" s="58">
        <f>AVERAGEIFS($G$4:$G$147,$A$4:$A$147,"&gt;"&amp;$A102-7,$A$4:$A$147,"&lt;="&amp;$A102)</f>
        <v/>
      </c>
      <c r="Q102" s="55">
        <f>INT(A102)</f>
        <v/>
      </c>
      <c r="R102" s="69" t="n">
        <v>46128.28055555555</v>
      </c>
    </row>
    <row r="103">
      <c r="A103" s="67" t="n">
        <v>46129.30833333333</v>
      </c>
      <c r="B103" s="58" t="n">
        <v>79.31999999999999</v>
      </c>
      <c r="C103" s="58" t="n">
        <v>25.035635</v>
      </c>
      <c r="D103" s="60" t="n">
        <v>21.8</v>
      </c>
      <c r="E103" s="60" t="n">
        <v>54.7</v>
      </c>
      <c r="F103" s="58" t="n">
        <v>3.1</v>
      </c>
      <c r="G103" s="58" t="n">
        <v>58.81</v>
      </c>
      <c r="H103" s="60" t="n">
        <v>19.5</v>
      </c>
      <c r="I103" s="58">
        <f>IF(D103="","",B103*D103/100)</f>
        <v/>
      </c>
      <c r="J103" s="56" t="n">
        <v>9</v>
      </c>
      <c r="K103" s="68" t="n">
        <v>1676</v>
      </c>
      <c r="L103" s="56" t="n">
        <v>30</v>
      </c>
      <c r="M103" s="56" t="n">
        <v>80</v>
      </c>
      <c r="N103" s="58">
        <f>AVERAGEIFS($B$4:$B$147,$A$4:$A$147,"&gt;"&amp;$A103-7,$A$4:$A$147,"&lt;="&amp;$A103)</f>
        <v/>
      </c>
      <c r="O103" s="58">
        <f>AVERAGEIFS($D$4:$D$147,$A$4:$A$147,"&gt;"&amp;$A103-7,$A$4:$A$147,"&lt;="&amp;$A103)</f>
        <v/>
      </c>
      <c r="P103" s="58">
        <f>AVERAGEIFS($G$4:$G$147,$A$4:$A$147,"&gt;"&amp;$A103-7,$A$4:$A$147,"&lt;="&amp;$A103)</f>
        <v/>
      </c>
      <c r="Q103" s="55">
        <f>INT(A103)</f>
        <v/>
      </c>
      <c r="R103" s="69" t="n">
        <v>46129.26666666667</v>
      </c>
    </row>
    <row r="104">
      <c r="A104" s="67" t="n">
        <v>46130.44444444445</v>
      </c>
      <c r="B104" s="58" t="n">
        <v>78.89</v>
      </c>
      <c r="C104" s="58" t="n">
        <v>24.898888</v>
      </c>
      <c r="D104" s="60" t="n">
        <v>21.5</v>
      </c>
      <c r="E104" s="60" t="n">
        <v>55</v>
      </c>
      <c r="F104" s="58" t="n">
        <v>3.1</v>
      </c>
      <c r="G104" s="58" t="n">
        <v>59.06</v>
      </c>
      <c r="H104" s="60" t="n">
        <v>19.5</v>
      </c>
      <c r="I104" s="58">
        <f>IF(D104="","",B104*D104/100)</f>
        <v/>
      </c>
      <c r="J104" s="56" t="n">
        <v>9</v>
      </c>
      <c r="K104" s="68" t="n">
        <v>1677</v>
      </c>
      <c r="L104" s="56" t="n">
        <v>30</v>
      </c>
      <c r="M104" s="56" t="n">
        <v>80</v>
      </c>
      <c r="N104" s="58">
        <f>AVERAGEIFS($B$4:$B$147,$A$4:$A$147,"&gt;"&amp;$A104-7,$A$4:$A$147,"&lt;="&amp;$A104)</f>
        <v/>
      </c>
      <c r="O104" s="58">
        <f>AVERAGEIFS($D$4:$D$147,$A$4:$A$147,"&gt;"&amp;$A104-7,$A$4:$A$147,"&lt;="&amp;$A104)</f>
        <v/>
      </c>
      <c r="P104" s="58">
        <f>AVERAGEIFS($G$4:$G$147,$A$4:$A$147,"&gt;"&amp;$A104-7,$A$4:$A$147,"&lt;="&amp;$A104)</f>
        <v/>
      </c>
      <c r="Q104" s="55">
        <f>INT(A104)</f>
        <v/>
      </c>
      <c r="R104" s="69" t="n">
        <v>46130.40277777778</v>
      </c>
    </row>
    <row r="105">
      <c r="A105" s="67" t="n">
        <v>46132.33125</v>
      </c>
      <c r="B105" s="58" t="n">
        <v>79.44</v>
      </c>
      <c r="C105" s="58" t="n">
        <v>25.072164</v>
      </c>
      <c r="D105" s="60" t="n">
        <v>20.9</v>
      </c>
      <c r="E105" s="60" t="n">
        <v>55.4</v>
      </c>
      <c r="F105" s="58" t="n">
        <v>3.1</v>
      </c>
      <c r="G105" s="58" t="n">
        <v>59</v>
      </c>
      <c r="H105" s="60" t="n">
        <v>19.5</v>
      </c>
      <c r="I105" s="58">
        <f>IF(D105="","",B105*D105/100)</f>
        <v/>
      </c>
      <c r="J105" s="56" t="n">
        <v>9</v>
      </c>
      <c r="K105" s="68" t="n">
        <v>1676</v>
      </c>
      <c r="L105" s="56" t="n">
        <v>30</v>
      </c>
      <c r="M105" s="56" t="n">
        <v>80</v>
      </c>
      <c r="N105" s="58">
        <f>AVERAGEIFS($B$4:$B$147,$A$4:$A$147,"&gt;"&amp;$A105-7,$A$4:$A$147,"&lt;="&amp;$A105)</f>
        <v/>
      </c>
      <c r="O105" s="58">
        <f>AVERAGEIFS($D$4:$D$147,$A$4:$A$147,"&gt;"&amp;$A105-7,$A$4:$A$147,"&lt;="&amp;$A105)</f>
        <v/>
      </c>
      <c r="P105" s="58">
        <f>AVERAGEIFS($G$4:$G$147,$A$4:$A$147,"&gt;"&amp;$A105-7,$A$4:$A$147,"&lt;="&amp;$A105)</f>
        <v/>
      </c>
      <c r="Q105" s="55">
        <f>INT(A105)</f>
        <v/>
      </c>
      <c r="R105" s="69" t="n">
        <v>46132.28958333333</v>
      </c>
    </row>
    <row r="106">
      <c r="A106" s="67" t="n">
        <v>46134.30277777778</v>
      </c>
      <c r="B106" s="58" t="n">
        <v>79.20999999999999</v>
      </c>
      <c r="C106" s="58" t="n">
        <v>24.998797</v>
      </c>
      <c r="D106" s="60" t="n">
        <v>20.7</v>
      </c>
      <c r="E106" s="60" t="n">
        <v>55.5</v>
      </c>
      <c r="F106" s="58" t="n">
        <v>3.1</v>
      </c>
      <c r="G106" s="58" t="n">
        <v>59.11</v>
      </c>
      <c r="H106" s="60" t="n">
        <v>19.5</v>
      </c>
      <c r="I106" s="58">
        <f>IF(D106="","",B106*D106/100)</f>
        <v/>
      </c>
      <c r="J106" s="56" t="n">
        <v>9</v>
      </c>
      <c r="K106" s="68" t="n">
        <v>1677</v>
      </c>
      <c r="L106" s="56" t="n">
        <v>30</v>
      </c>
      <c r="M106" s="56" t="n">
        <v>80</v>
      </c>
      <c r="N106" s="58">
        <f>AVERAGEIFS($B$4:$B$147,$A$4:$A$147,"&gt;"&amp;$A106-7,$A$4:$A$147,"&lt;="&amp;$A106)</f>
        <v/>
      </c>
      <c r="O106" s="58">
        <f>AVERAGEIFS($D$4:$D$147,$A$4:$A$147,"&gt;"&amp;$A106-7,$A$4:$A$147,"&lt;="&amp;$A106)</f>
        <v/>
      </c>
      <c r="P106" s="58">
        <f>AVERAGEIFS($G$4:$G$147,$A$4:$A$147,"&gt;"&amp;$A106-7,$A$4:$A$147,"&lt;="&amp;$A106)</f>
        <v/>
      </c>
      <c r="Q106" s="55">
        <f>INT(A106)</f>
        <v/>
      </c>
      <c r="R106" s="69" t="n">
        <v>46134.26111111111</v>
      </c>
    </row>
    <row r="107">
      <c r="A107" s="67" t="n">
        <v>46135.32013888889</v>
      </c>
      <c r="B107" s="58" t="n">
        <v>79.5</v>
      </c>
      <c r="C107" s="58" t="n">
        <v>25.091181</v>
      </c>
      <c r="D107" s="60" t="n">
        <v>21.8</v>
      </c>
      <c r="E107" s="60" t="n">
        <v>54.7</v>
      </c>
      <c r="F107" s="58" t="n">
        <v>3.1</v>
      </c>
      <c r="G107" s="58" t="n">
        <v>59.02</v>
      </c>
      <c r="H107" s="60" t="n">
        <v>19.5</v>
      </c>
      <c r="I107" s="58">
        <f>IF(D107="","",B107*D107/100)</f>
        <v/>
      </c>
      <c r="J107" s="56" t="n">
        <v>9</v>
      </c>
      <c r="K107" s="68" t="n">
        <v>1677</v>
      </c>
      <c r="L107" s="56" t="n">
        <v>30</v>
      </c>
      <c r="M107" s="56" t="n">
        <v>80</v>
      </c>
      <c r="N107" s="58">
        <f>AVERAGEIFS($B$4:$B$147,$A$4:$A$147,"&gt;"&amp;$A107-7,$A$4:$A$147,"&lt;="&amp;$A107)</f>
        <v/>
      </c>
      <c r="O107" s="58">
        <f>AVERAGEIFS($D$4:$D$147,$A$4:$A$147,"&gt;"&amp;$A107-7,$A$4:$A$147,"&lt;="&amp;$A107)</f>
        <v/>
      </c>
      <c r="P107" s="58">
        <f>AVERAGEIFS($G$4:$G$147,$A$4:$A$147,"&gt;"&amp;$A107-7,$A$4:$A$147,"&lt;="&amp;$A107)</f>
        <v/>
      </c>
      <c r="Q107" s="55">
        <f>INT(A107)</f>
        <v/>
      </c>
      <c r="R107" s="69" t="n">
        <v>46135.27847222222</v>
      </c>
    </row>
    <row r="108">
      <c r="A108" s="67" t="n">
        <v>46136.3125</v>
      </c>
      <c r="B108" s="58" t="n">
        <v>79.11</v>
      </c>
      <c r="C108" s="58" t="n">
        <v>24.968548</v>
      </c>
      <c r="D108" s="60" t="n">
        <v>21.2</v>
      </c>
      <c r="E108" s="60" t="n">
        <v>55.2</v>
      </c>
      <c r="F108" s="58" t="n">
        <v>3.1</v>
      </c>
      <c r="G108" s="58" t="n">
        <v>59.4</v>
      </c>
      <c r="H108" s="60" t="n">
        <v>19.5</v>
      </c>
      <c r="I108" s="58">
        <f>IF(D108="","",B108*D108/100)</f>
        <v/>
      </c>
      <c r="J108" s="56" t="n">
        <v>9</v>
      </c>
      <c r="K108" s="68" t="n">
        <v>1678</v>
      </c>
      <c r="L108" s="56" t="n">
        <v>30</v>
      </c>
      <c r="M108" s="56" t="n">
        <v>80</v>
      </c>
      <c r="N108" s="58">
        <f>AVERAGEIFS($B$4:$B$147,$A$4:$A$147,"&gt;"&amp;$A108-7,$A$4:$A$147,"&lt;="&amp;$A108)</f>
        <v/>
      </c>
      <c r="O108" s="58">
        <f>AVERAGEIFS($D$4:$D$147,$A$4:$A$147,"&gt;"&amp;$A108-7,$A$4:$A$147,"&lt;="&amp;$A108)</f>
        <v/>
      </c>
      <c r="P108" s="58">
        <f>AVERAGEIFS($G$4:$G$147,$A$4:$A$147,"&gt;"&amp;$A108-7,$A$4:$A$147,"&lt;="&amp;$A108)</f>
        <v/>
      </c>
      <c r="Q108" s="55">
        <f>INT(A108)</f>
        <v/>
      </c>
      <c r="R108" s="69" t="n">
        <v>46136.27083333334</v>
      </c>
    </row>
    <row r="109">
      <c r="A109" s="67" t="n">
        <v>46136.31458333333</v>
      </c>
      <c r="B109" s="58" t="n">
        <v>79.01000000000001</v>
      </c>
      <c r="C109" s="58" t="n">
        <v>24.936986</v>
      </c>
      <c r="D109" s="60" t="n">
        <v>21.2</v>
      </c>
      <c r="E109" s="60" t="n">
        <v>55.2</v>
      </c>
      <c r="F109" s="58" t="n">
        <v>3.1</v>
      </c>
      <c r="G109" s="58" t="n">
        <v>59.4</v>
      </c>
      <c r="H109" s="60" t="n">
        <v>19.5</v>
      </c>
      <c r="I109" s="58">
        <f>IF(D109="","",B109*D109/100)</f>
        <v/>
      </c>
      <c r="J109" s="56" t="n">
        <v>9</v>
      </c>
      <c r="K109" s="68" t="n">
        <v>1678</v>
      </c>
      <c r="L109" s="56" t="n">
        <v>30</v>
      </c>
      <c r="M109" s="56" t="n">
        <v>80</v>
      </c>
      <c r="N109" s="58">
        <f>AVERAGEIFS($B$4:$B$147,$A$4:$A$147,"&gt;"&amp;$A109-7,$A$4:$A$147,"&lt;="&amp;$A109)</f>
        <v/>
      </c>
      <c r="O109" s="58">
        <f>AVERAGEIFS($D$4:$D$147,$A$4:$A$147,"&gt;"&amp;$A109-7,$A$4:$A$147,"&lt;="&amp;$A109)</f>
        <v/>
      </c>
      <c r="P109" s="58">
        <f>AVERAGEIFS($G$4:$G$147,$A$4:$A$147,"&gt;"&amp;$A109-7,$A$4:$A$147,"&lt;="&amp;$A109)</f>
        <v/>
      </c>
      <c r="Q109" s="55">
        <f>INT(A109)</f>
        <v/>
      </c>
      <c r="R109" s="69" t="n">
        <v>46136.27291666667</v>
      </c>
    </row>
    <row r="110">
      <c r="A110" s="67" t="n">
        <v>46137.44305555556</v>
      </c>
      <c r="B110" s="58" t="n">
        <v>78.95999999999999</v>
      </c>
      <c r="C110" s="58" t="n">
        <v>24.92218</v>
      </c>
      <c r="D110" s="60" t="n">
        <v>21.5</v>
      </c>
      <c r="E110" s="60" t="n">
        <v>55</v>
      </c>
      <c r="F110" s="58" t="n">
        <v>3.1</v>
      </c>
      <c r="G110" s="58" t="n">
        <v>59.21</v>
      </c>
      <c r="H110" s="60" t="n">
        <v>19.5</v>
      </c>
      <c r="I110" s="58">
        <f>IF(D110="","",B110*D110/100)</f>
        <v/>
      </c>
      <c r="J110" s="56" t="n">
        <v>9</v>
      </c>
      <c r="K110" s="68" t="n">
        <v>1677</v>
      </c>
      <c r="L110" s="56" t="n">
        <v>30</v>
      </c>
      <c r="M110" s="56" t="n">
        <v>80</v>
      </c>
      <c r="N110" s="58">
        <f>AVERAGEIFS($B$4:$B$147,$A$4:$A$147,"&gt;"&amp;$A110-7,$A$4:$A$147,"&lt;="&amp;$A110)</f>
        <v/>
      </c>
      <c r="O110" s="58">
        <f>AVERAGEIFS($D$4:$D$147,$A$4:$A$147,"&gt;"&amp;$A110-7,$A$4:$A$147,"&lt;="&amp;$A110)</f>
        <v/>
      </c>
      <c r="P110" s="58">
        <f>AVERAGEIFS($G$4:$G$147,$A$4:$A$147,"&gt;"&amp;$A110-7,$A$4:$A$147,"&lt;="&amp;$A110)</f>
        <v/>
      </c>
      <c r="Q110" s="55">
        <f>INT(A110)</f>
        <v/>
      </c>
      <c r="R110" s="69" t="n">
        <v>46137.40138888889</v>
      </c>
    </row>
    <row r="111">
      <c r="A111" s="67" t="n">
        <v>46138.42986111111</v>
      </c>
      <c r="B111" s="58" t="n">
        <v>78.64</v>
      </c>
      <c r="C111" s="58" t="n">
        <v>24.819376</v>
      </c>
      <c r="D111" s="60" t="n">
        <v>21.1</v>
      </c>
      <c r="E111" s="60" t="n">
        <v>55.2</v>
      </c>
      <c r="F111" s="58" t="n">
        <v>3.1</v>
      </c>
      <c r="G111" s="58" t="n">
        <v>58.77</v>
      </c>
      <c r="H111" s="60" t="n">
        <v>19.5</v>
      </c>
      <c r="I111" s="58">
        <f>IF(D111="","",B111*D111/100)</f>
        <v/>
      </c>
      <c r="J111" s="56" t="n">
        <v>9</v>
      </c>
      <c r="K111" s="68" t="n">
        <v>1676</v>
      </c>
      <c r="L111" s="56" t="n">
        <v>30</v>
      </c>
      <c r="M111" s="56" t="n">
        <v>80</v>
      </c>
      <c r="N111" s="58">
        <f>AVERAGEIFS($B$4:$B$147,$A$4:$A$147,"&gt;"&amp;$A111-7,$A$4:$A$147,"&lt;="&amp;$A111)</f>
        <v/>
      </c>
      <c r="O111" s="58">
        <f>AVERAGEIFS($D$4:$D$147,$A$4:$A$147,"&gt;"&amp;$A111-7,$A$4:$A$147,"&lt;="&amp;$A111)</f>
        <v/>
      </c>
      <c r="P111" s="58">
        <f>AVERAGEIFS($G$4:$G$147,$A$4:$A$147,"&gt;"&amp;$A111-7,$A$4:$A$147,"&lt;="&amp;$A111)</f>
        <v/>
      </c>
      <c r="Q111" s="55">
        <f>INT(A111)</f>
        <v/>
      </c>
      <c r="R111" s="69" t="n">
        <v>46138.38819444444</v>
      </c>
    </row>
    <row r="112">
      <c r="A112" s="67" t="n">
        <v>46139.29583333333</v>
      </c>
      <c r="B112" s="58" t="n">
        <v>78.77</v>
      </c>
      <c r="C112" s="58" t="n">
        <v>24.861496</v>
      </c>
      <c r="D112" s="60" t="n">
        <v>21</v>
      </c>
      <c r="E112" s="60" t="n">
        <v>55.3</v>
      </c>
      <c r="F112" s="58" t="n">
        <v>3.1</v>
      </c>
      <c r="G112" s="58" t="n">
        <v>58.7</v>
      </c>
      <c r="H112" s="60" t="n">
        <v>19.5</v>
      </c>
      <c r="I112" s="58">
        <f>IF(D112="","",B112*D112/100)</f>
        <v/>
      </c>
      <c r="J112" s="56" t="n">
        <v>9</v>
      </c>
      <c r="K112" s="68" t="n">
        <v>1676</v>
      </c>
      <c r="L112" s="56" t="n">
        <v>30</v>
      </c>
      <c r="M112" s="56" t="n">
        <v>80</v>
      </c>
      <c r="N112" s="58">
        <f>AVERAGEIFS($B$4:$B$147,$A$4:$A$147,"&gt;"&amp;$A112-7,$A$4:$A$147,"&lt;="&amp;$A112)</f>
        <v/>
      </c>
      <c r="O112" s="58">
        <f>AVERAGEIFS($D$4:$D$147,$A$4:$A$147,"&gt;"&amp;$A112-7,$A$4:$A$147,"&lt;="&amp;$A112)</f>
        <v/>
      </c>
      <c r="P112" s="58">
        <f>AVERAGEIFS($G$4:$G$147,$A$4:$A$147,"&gt;"&amp;$A112-7,$A$4:$A$147,"&lt;="&amp;$A112)</f>
        <v/>
      </c>
      <c r="Q112" s="55">
        <f>INT(A112)</f>
        <v/>
      </c>
      <c r="R112" s="69" t="n">
        <v>46139.25416666667</v>
      </c>
    </row>
    <row r="113">
      <c r="A113" s="67" t="n">
        <v>46140.31458333333</v>
      </c>
      <c r="B113" s="58" t="n">
        <v>78.59</v>
      </c>
      <c r="C113" s="58" t="n">
        <v>24.805323</v>
      </c>
      <c r="D113" s="60" t="n">
        <v>21.6</v>
      </c>
      <c r="E113" s="60" t="n">
        <v>54.9</v>
      </c>
      <c r="F113" s="58" t="n">
        <v>3.1</v>
      </c>
      <c r="G113" s="58" t="n">
        <v>59.13</v>
      </c>
      <c r="H113" s="60" t="n">
        <v>19.5</v>
      </c>
      <c r="I113" s="58">
        <f>IF(D113="","",B113*D113/100)</f>
        <v/>
      </c>
      <c r="J113" s="56" t="n">
        <v>9</v>
      </c>
      <c r="K113" s="68" t="n">
        <v>1677</v>
      </c>
      <c r="L113" s="56" t="n">
        <v>30</v>
      </c>
      <c r="M113" s="56" t="n">
        <v>80</v>
      </c>
      <c r="N113" s="58">
        <f>AVERAGEIFS($B$4:$B$147,$A$4:$A$147,"&gt;"&amp;$A113-7,$A$4:$A$147,"&lt;="&amp;$A113)</f>
        <v/>
      </c>
      <c r="O113" s="58">
        <f>AVERAGEIFS($D$4:$D$147,$A$4:$A$147,"&gt;"&amp;$A113-7,$A$4:$A$147,"&lt;="&amp;$A113)</f>
        <v/>
      </c>
      <c r="P113" s="58">
        <f>AVERAGEIFS($G$4:$G$147,$A$4:$A$147,"&gt;"&amp;$A113-7,$A$4:$A$147,"&lt;="&amp;$A113)</f>
        <v/>
      </c>
      <c r="Q113" s="55">
        <f>INT(A113)</f>
        <v/>
      </c>
      <c r="R113" s="69" t="n">
        <v>46140.27291666667</v>
      </c>
    </row>
    <row r="114">
      <c r="A114" s="67" t="n">
        <v>46141.30486111111</v>
      </c>
      <c r="B114" s="58" t="n">
        <v>77.53</v>
      </c>
      <c r="C114" s="58" t="n">
        <v>24.470503</v>
      </c>
      <c r="D114" s="60" t="n">
        <v>22.1</v>
      </c>
      <c r="E114" s="60" t="n">
        <v>54.5</v>
      </c>
      <c r="F114" s="58" t="n">
        <v>3.1</v>
      </c>
      <c r="G114" s="58" t="n">
        <v>58.96</v>
      </c>
      <c r="H114" s="60" t="n">
        <v>19.5</v>
      </c>
      <c r="I114" s="58">
        <f>IF(D114="","",B114*D114/100)</f>
        <v/>
      </c>
      <c r="J114" s="56" t="n">
        <v>9</v>
      </c>
      <c r="K114" s="68" t="n">
        <v>1676</v>
      </c>
      <c r="L114" s="56" t="n">
        <v>30</v>
      </c>
      <c r="M114" s="56" t="n">
        <v>80</v>
      </c>
      <c r="N114" s="58">
        <f>AVERAGEIFS($B$4:$B$147,$A$4:$A$147,"&gt;"&amp;$A114-7,$A$4:$A$147,"&lt;="&amp;$A114)</f>
        <v/>
      </c>
      <c r="O114" s="58">
        <f>AVERAGEIFS($D$4:$D$147,$A$4:$A$147,"&gt;"&amp;$A114-7,$A$4:$A$147,"&lt;="&amp;$A114)</f>
        <v/>
      </c>
      <c r="P114" s="58">
        <f>AVERAGEIFS($G$4:$G$147,$A$4:$A$147,"&gt;"&amp;$A114-7,$A$4:$A$147,"&lt;="&amp;$A114)</f>
        <v/>
      </c>
      <c r="Q114" s="55">
        <f>INT(A114)</f>
        <v/>
      </c>
      <c r="R114" s="69" t="n">
        <v>46141.26319444444</v>
      </c>
    </row>
    <row r="115">
      <c r="A115" s="67" t="n">
        <v>46143.32777777778</v>
      </c>
      <c r="B115" s="58" t="n">
        <v>77.41</v>
      </c>
      <c r="C115" s="58" t="n">
        <v>24.431815</v>
      </c>
      <c r="D115" s="60" t="n">
        <v>21</v>
      </c>
      <c r="E115" s="60" t="n">
        <v>55.3</v>
      </c>
      <c r="F115" s="58" t="n">
        <v>3.1</v>
      </c>
      <c r="G115" s="58" t="n">
        <v>59.28</v>
      </c>
      <c r="H115" s="60" t="n">
        <v>19.5</v>
      </c>
      <c r="I115" s="58">
        <f>IF(D115="","",B115*D115/100)</f>
        <v/>
      </c>
      <c r="J115" s="56" t="n">
        <v>9</v>
      </c>
      <c r="K115" s="68" t="n">
        <v>1677</v>
      </c>
      <c r="L115" s="56" t="n">
        <v>30</v>
      </c>
      <c r="M115" s="56" t="n">
        <v>80</v>
      </c>
      <c r="N115" s="58">
        <f>AVERAGEIFS($B$4:$B$147,$A$4:$A$147,"&gt;"&amp;$A115-7,$A$4:$A$147,"&lt;="&amp;$A115)</f>
        <v/>
      </c>
      <c r="O115" s="58">
        <f>AVERAGEIFS($D$4:$D$147,$A$4:$A$147,"&gt;"&amp;$A115-7,$A$4:$A$147,"&lt;="&amp;$A115)</f>
        <v/>
      </c>
      <c r="P115" s="58">
        <f>AVERAGEIFS($G$4:$G$147,$A$4:$A$147,"&gt;"&amp;$A115-7,$A$4:$A$147,"&lt;="&amp;$A115)</f>
        <v/>
      </c>
      <c r="Q115" s="55">
        <f>INT(A115)</f>
        <v/>
      </c>
      <c r="R115" s="69" t="n">
        <v>46143.28611111111</v>
      </c>
    </row>
    <row r="116">
      <c r="A116" s="67" t="n">
        <v>46144.45763888889</v>
      </c>
      <c r="B116" s="58" t="n">
        <v>78.48</v>
      </c>
      <c r="C116" s="58" t="n">
        <v>24.769667</v>
      </c>
      <c r="D116" s="60" t="n">
        <v>21.2</v>
      </c>
      <c r="E116" s="60" t="n">
        <v>55.2</v>
      </c>
      <c r="F116" s="58" t="n">
        <v>3.1</v>
      </c>
      <c r="G116" s="58" t="n">
        <v>59.35</v>
      </c>
      <c r="H116" s="60" t="n">
        <v>19.5</v>
      </c>
      <c r="I116" s="58">
        <f>IF(D116="","",B116*D116/100)</f>
        <v/>
      </c>
      <c r="J116" s="56" t="n">
        <v>9</v>
      </c>
      <c r="K116" s="68" t="n">
        <v>1678</v>
      </c>
      <c r="L116" s="56" t="n">
        <v>30</v>
      </c>
      <c r="M116" s="56" t="n">
        <v>80</v>
      </c>
      <c r="N116" s="58">
        <f>AVERAGEIFS($B$4:$B$147,$A$4:$A$147,"&gt;"&amp;$A116-7,$A$4:$A$147,"&lt;="&amp;$A116)</f>
        <v/>
      </c>
      <c r="O116" s="58">
        <f>AVERAGEIFS($D$4:$D$147,$A$4:$A$147,"&gt;"&amp;$A116-7,$A$4:$A$147,"&lt;="&amp;$A116)</f>
        <v/>
      </c>
      <c r="P116" s="58">
        <f>AVERAGEIFS($G$4:$G$147,$A$4:$A$147,"&gt;"&amp;$A116-7,$A$4:$A$147,"&lt;="&amp;$A116)</f>
        <v/>
      </c>
      <c r="Q116" s="55">
        <f>INT(A116)</f>
        <v/>
      </c>
      <c r="R116" s="69" t="n">
        <v>46144.41597222222</v>
      </c>
    </row>
    <row r="117">
      <c r="A117" s="67" t="n">
        <v>46145.43958333333</v>
      </c>
      <c r="B117" s="58" t="n">
        <v>78.42</v>
      </c>
      <c r="C117" s="58" t="n">
        <v>24.751349</v>
      </c>
      <c r="D117" s="60" t="n">
        <v>21.4</v>
      </c>
      <c r="E117" s="60" t="n">
        <v>55</v>
      </c>
      <c r="F117" s="58" t="n">
        <v>3.1</v>
      </c>
      <c r="G117" s="58" t="n">
        <v>58.74</v>
      </c>
      <c r="H117" s="60" t="n">
        <v>19.5</v>
      </c>
      <c r="I117" s="58">
        <f>IF(D117="","",B117*D117/100)</f>
        <v/>
      </c>
      <c r="J117" s="56" t="n">
        <v>9</v>
      </c>
      <c r="K117" s="68" t="n">
        <v>1676</v>
      </c>
      <c r="L117" s="56" t="n">
        <v>30</v>
      </c>
      <c r="M117" s="56" t="n">
        <v>80</v>
      </c>
      <c r="N117" s="58">
        <f>AVERAGEIFS($B$4:$B$147,$A$4:$A$147,"&gt;"&amp;$A117-7,$A$4:$A$147,"&lt;="&amp;$A117)</f>
        <v/>
      </c>
      <c r="O117" s="58">
        <f>AVERAGEIFS($D$4:$D$147,$A$4:$A$147,"&gt;"&amp;$A117-7,$A$4:$A$147,"&lt;="&amp;$A117)</f>
        <v/>
      </c>
      <c r="P117" s="58">
        <f>AVERAGEIFS($G$4:$G$147,$A$4:$A$147,"&gt;"&amp;$A117-7,$A$4:$A$147,"&lt;="&amp;$A117)</f>
        <v/>
      </c>
      <c r="Q117" s="55">
        <f>INT(A117)</f>
        <v/>
      </c>
      <c r="R117" s="69" t="n">
        <v>46145.39791666667</v>
      </c>
    </row>
    <row r="118">
      <c r="A118" s="67" t="n">
        <v>46146.29652777778</v>
      </c>
      <c r="B118" s="58" t="n">
        <v>78.09999999999999</v>
      </c>
      <c r="C118" s="58" t="n">
        <v>24.649931</v>
      </c>
      <c r="D118" s="60" t="n">
        <v>20.9</v>
      </c>
      <c r="E118" s="60" t="n">
        <v>55.4</v>
      </c>
      <c r="F118" s="58" t="n">
        <v>3.1</v>
      </c>
      <c r="G118" s="58" t="n">
        <v>58.85</v>
      </c>
      <c r="H118" s="60" t="n">
        <v>19.5</v>
      </c>
      <c r="I118" s="58">
        <f>IF(D118="","",B118*D118/100)</f>
        <v/>
      </c>
      <c r="J118" s="56" t="n">
        <v>9</v>
      </c>
      <c r="K118" s="68" t="n">
        <v>1676</v>
      </c>
      <c r="L118" s="56" t="n">
        <v>30</v>
      </c>
      <c r="M118" s="56" t="n">
        <v>80</v>
      </c>
      <c r="N118" s="58">
        <f>AVERAGEIFS($B$4:$B$147,$A$4:$A$147,"&gt;"&amp;$A118-7,$A$4:$A$147,"&lt;="&amp;$A118)</f>
        <v/>
      </c>
      <c r="O118" s="58">
        <f>AVERAGEIFS($D$4:$D$147,$A$4:$A$147,"&gt;"&amp;$A118-7,$A$4:$A$147,"&lt;="&amp;$A118)</f>
        <v/>
      </c>
      <c r="P118" s="58">
        <f>AVERAGEIFS($G$4:$G$147,$A$4:$A$147,"&gt;"&amp;$A118-7,$A$4:$A$147,"&lt;="&amp;$A118)</f>
        <v/>
      </c>
      <c r="Q118" s="55">
        <f>INT(A118)</f>
        <v/>
      </c>
      <c r="R118" s="69" t="n">
        <v>46146.25486111111</v>
      </c>
    </row>
    <row r="119">
      <c r="A119" s="67" t="n">
        <v>46147.31319444445</v>
      </c>
      <c r="B119" s="58" t="n">
        <v>78.19</v>
      </c>
      <c r="C119" s="58" t="n">
        <v>24.678474</v>
      </c>
      <c r="D119" s="60" t="n">
        <v>21.1</v>
      </c>
      <c r="E119" s="60" t="n">
        <v>55.2</v>
      </c>
      <c r="F119" s="58" t="n">
        <v>3.1</v>
      </c>
      <c r="G119" s="58" t="n">
        <v>59.38</v>
      </c>
      <c r="H119" s="60" t="n">
        <v>19.5</v>
      </c>
      <c r="I119" s="58">
        <f>IF(D119="","",B119*D119/100)</f>
        <v/>
      </c>
      <c r="J119" s="56" t="n">
        <v>9</v>
      </c>
      <c r="K119" s="68" t="n">
        <v>1678</v>
      </c>
      <c r="L119" s="56" t="n">
        <v>30</v>
      </c>
      <c r="M119" s="56" t="n">
        <v>80</v>
      </c>
      <c r="N119" s="58">
        <f>AVERAGEIFS($B$4:$B$147,$A$4:$A$147,"&gt;"&amp;$A119-7,$A$4:$A$147,"&lt;="&amp;$A119)</f>
        <v/>
      </c>
      <c r="O119" s="58">
        <f>AVERAGEIFS($D$4:$D$147,$A$4:$A$147,"&gt;"&amp;$A119-7,$A$4:$A$147,"&lt;="&amp;$A119)</f>
        <v/>
      </c>
      <c r="P119" s="58">
        <f>AVERAGEIFS($G$4:$G$147,$A$4:$A$147,"&gt;"&amp;$A119-7,$A$4:$A$147,"&lt;="&amp;$A119)</f>
        <v/>
      </c>
      <c r="Q119" s="55">
        <f>INT(A119)</f>
        <v/>
      </c>
      <c r="R119" s="69" t="n">
        <v>46147.27152777778</v>
      </c>
    </row>
    <row r="120">
      <c r="A120" s="67" t="n">
        <v>46148.32361111111</v>
      </c>
      <c r="B120" s="58" t="n">
        <v>78.14</v>
      </c>
      <c r="C120" s="58" t="n">
        <v>24.663209</v>
      </c>
      <c r="D120" s="60" t="n">
        <v>21.2</v>
      </c>
      <c r="E120" s="60" t="n">
        <v>55.2</v>
      </c>
      <c r="F120" s="58" t="n">
        <v>3.1</v>
      </c>
      <c r="G120" s="58" t="n">
        <v>59.19</v>
      </c>
      <c r="H120" s="60" t="n">
        <v>19.5</v>
      </c>
      <c r="I120" s="58">
        <f>IF(D120="","",B120*D120/100)</f>
        <v/>
      </c>
      <c r="J120" s="56" t="n">
        <v>9</v>
      </c>
      <c r="K120" s="68" t="n">
        <v>1677</v>
      </c>
      <c r="L120" s="56" t="n">
        <v>30</v>
      </c>
      <c r="M120" s="56" t="n">
        <v>80</v>
      </c>
      <c r="N120" s="58">
        <f>AVERAGEIFS($B$4:$B$147,$A$4:$A$147,"&gt;"&amp;$A120-7,$A$4:$A$147,"&lt;="&amp;$A120)</f>
        <v/>
      </c>
      <c r="O120" s="58">
        <f>AVERAGEIFS($D$4:$D$147,$A$4:$A$147,"&gt;"&amp;$A120-7,$A$4:$A$147,"&lt;="&amp;$A120)</f>
        <v/>
      </c>
      <c r="P120" s="58">
        <f>AVERAGEIFS($G$4:$G$147,$A$4:$A$147,"&gt;"&amp;$A120-7,$A$4:$A$147,"&lt;="&amp;$A120)</f>
        <v/>
      </c>
      <c r="Q120" s="55">
        <f>INT(A120)</f>
        <v/>
      </c>
      <c r="R120" s="69" t="n">
        <v>46148.28194444445</v>
      </c>
    </row>
    <row r="121">
      <c r="A121" s="67" t="n">
        <v>46149.32847222222</v>
      </c>
      <c r="B121" s="58" t="n">
        <v>78.11</v>
      </c>
      <c r="C121" s="58" t="n">
        <v>24.652309</v>
      </c>
      <c r="D121" s="60" t="n">
        <v>21.2</v>
      </c>
      <c r="E121" s="60" t="n">
        <v>55.2</v>
      </c>
      <c r="F121" s="58" t="n">
        <v>3.1</v>
      </c>
      <c r="G121" s="58" t="n">
        <v>58.88</v>
      </c>
      <c r="H121" s="60" t="n">
        <v>19.5</v>
      </c>
      <c r="I121" s="58">
        <f>IF(D121="","",B121*D121/100)</f>
        <v/>
      </c>
      <c r="J121" s="56" t="n">
        <v>9</v>
      </c>
      <c r="K121" s="68" t="n">
        <v>1676</v>
      </c>
      <c r="L121" s="56" t="n">
        <v>30</v>
      </c>
      <c r="M121" s="56" t="n">
        <v>80</v>
      </c>
      <c r="N121" s="58">
        <f>AVERAGEIFS($B$4:$B$147,$A$4:$A$147,"&gt;"&amp;$A121-7,$A$4:$A$147,"&lt;="&amp;$A121)</f>
        <v/>
      </c>
      <c r="O121" s="58">
        <f>AVERAGEIFS($D$4:$D$147,$A$4:$A$147,"&gt;"&amp;$A121-7,$A$4:$A$147,"&lt;="&amp;$A121)</f>
        <v/>
      </c>
      <c r="P121" s="58">
        <f>AVERAGEIFS($G$4:$G$147,$A$4:$A$147,"&gt;"&amp;$A121-7,$A$4:$A$147,"&lt;="&amp;$A121)</f>
        <v/>
      </c>
      <c r="Q121" s="55">
        <f>INT(A121)</f>
        <v/>
      </c>
      <c r="R121" s="69" t="n">
        <v>46149.28680555556</v>
      </c>
    </row>
    <row r="122">
      <c r="A122" s="67" t="n">
        <v>46150.3</v>
      </c>
      <c r="B122" s="58" t="n">
        <v>78.51000000000001</v>
      </c>
      <c r="C122" s="58" t="n">
        <v>24.780083</v>
      </c>
      <c r="D122" s="60" t="n">
        <v>20.7</v>
      </c>
      <c r="E122" s="60" t="n">
        <v>55.5</v>
      </c>
      <c r="F122" s="58" t="n">
        <v>3.1</v>
      </c>
      <c r="G122" s="58" t="n">
        <v>58.48</v>
      </c>
      <c r="H122" s="60" t="n">
        <v>19.5</v>
      </c>
      <c r="I122" s="58">
        <f>IF(D122="","",B122*D122/100)</f>
        <v/>
      </c>
      <c r="J122" s="56" t="n">
        <v>9</v>
      </c>
      <c r="K122" s="68" t="n">
        <v>1675</v>
      </c>
      <c r="L122" s="56" t="n">
        <v>30</v>
      </c>
      <c r="M122" s="56" t="n">
        <v>80</v>
      </c>
      <c r="N122" s="58">
        <f>AVERAGEIFS($B$4:$B$147,$A$4:$A$147,"&gt;"&amp;$A122-7,$A$4:$A$147,"&lt;="&amp;$A122)</f>
        <v/>
      </c>
      <c r="O122" s="58">
        <f>AVERAGEIFS($D$4:$D$147,$A$4:$A$147,"&gt;"&amp;$A122-7,$A$4:$A$147,"&lt;="&amp;$A122)</f>
        <v/>
      </c>
      <c r="P122" s="58">
        <f>AVERAGEIFS($G$4:$G$147,$A$4:$A$147,"&gt;"&amp;$A122-7,$A$4:$A$147,"&lt;="&amp;$A122)</f>
        <v/>
      </c>
      <c r="Q122" s="55">
        <f>INT(A122)</f>
        <v/>
      </c>
      <c r="R122" s="69" t="n">
        <v>46150.25833333333</v>
      </c>
    </row>
    <row r="123">
      <c r="A123" s="67" t="n">
        <v>46151.43263888889</v>
      </c>
      <c r="B123" s="58" t="n">
        <v>78.48999999999999</v>
      </c>
      <c r="C123" s="58" t="n">
        <v>24.77154</v>
      </c>
      <c r="D123" s="60" t="n">
        <v>21</v>
      </c>
      <c r="E123" s="60" t="n">
        <v>55.3</v>
      </c>
      <c r="F123" s="58" t="n">
        <v>3.1</v>
      </c>
      <c r="G123" s="58" t="n">
        <v>59.07</v>
      </c>
      <c r="H123" s="60" t="n">
        <v>19.5</v>
      </c>
      <c r="I123" s="58">
        <f>IF(D123="","",B123*D123/100)</f>
        <v/>
      </c>
      <c r="J123" s="56" t="n">
        <v>9</v>
      </c>
      <c r="K123" s="68" t="n">
        <v>1677</v>
      </c>
      <c r="L123" s="56" t="n">
        <v>30</v>
      </c>
      <c r="M123" s="56" t="n">
        <v>80</v>
      </c>
      <c r="N123" s="58">
        <f>AVERAGEIFS($B$4:$B$147,$A$4:$A$147,"&gt;"&amp;$A123-7,$A$4:$A$147,"&lt;="&amp;$A123)</f>
        <v/>
      </c>
      <c r="O123" s="58">
        <f>AVERAGEIFS($D$4:$D$147,$A$4:$A$147,"&gt;"&amp;$A123-7,$A$4:$A$147,"&lt;="&amp;$A123)</f>
        <v/>
      </c>
      <c r="P123" s="58">
        <f>AVERAGEIFS($G$4:$G$147,$A$4:$A$147,"&gt;"&amp;$A123-7,$A$4:$A$147,"&lt;="&amp;$A123)</f>
        <v/>
      </c>
      <c r="Q123" s="55">
        <f>INT(A123)</f>
        <v/>
      </c>
      <c r="R123" s="69" t="n">
        <v>46151.39097222222</v>
      </c>
    </row>
    <row r="124">
      <c r="A124" s="67" t="n">
        <v>46152.45</v>
      </c>
      <c r="B124" s="58" t="n">
        <v>78.02</v>
      </c>
      <c r="C124" s="58" t="n">
        <v>24.623867</v>
      </c>
      <c r="D124" s="60" t="n">
        <v>20.8</v>
      </c>
      <c r="E124" s="60" t="n">
        <v>55.5</v>
      </c>
      <c r="F124" s="58" t="n">
        <v>3.1</v>
      </c>
      <c r="G124" s="58" t="n">
        <v>59.07</v>
      </c>
      <c r="H124" s="60" t="n">
        <v>19.5</v>
      </c>
      <c r="I124" s="58">
        <f>IF(D124="","",B124*D124/100)</f>
        <v/>
      </c>
      <c r="J124" s="56" t="n">
        <v>9</v>
      </c>
      <c r="K124" s="68" t="n">
        <v>1677</v>
      </c>
      <c r="L124" s="56" t="n">
        <v>30</v>
      </c>
      <c r="M124" s="56" t="n">
        <v>80</v>
      </c>
      <c r="N124" s="58">
        <f>AVERAGEIFS($B$4:$B$147,$A$4:$A$147,"&gt;"&amp;$A124-7,$A$4:$A$147,"&lt;="&amp;$A124)</f>
        <v/>
      </c>
      <c r="O124" s="58">
        <f>AVERAGEIFS($D$4:$D$147,$A$4:$A$147,"&gt;"&amp;$A124-7,$A$4:$A$147,"&lt;="&amp;$A124)</f>
        <v/>
      </c>
      <c r="P124" s="58">
        <f>AVERAGEIFS($G$4:$G$147,$A$4:$A$147,"&gt;"&amp;$A124-7,$A$4:$A$147,"&lt;="&amp;$A124)</f>
        <v/>
      </c>
      <c r="Q124" s="55">
        <f>INT(A124)</f>
        <v/>
      </c>
      <c r="R124" s="69" t="n">
        <v>46152.40833333333</v>
      </c>
    </row>
    <row r="125">
      <c r="A125" s="67" t="n">
        <v>46153.32847222222</v>
      </c>
      <c r="B125" s="58" t="n">
        <v>77.81</v>
      </c>
      <c r="C125" s="58" t="n">
        <v>24.558869</v>
      </c>
      <c r="D125" s="60" t="n">
        <v>20.3</v>
      </c>
      <c r="E125" s="60" t="n">
        <v>55.8</v>
      </c>
      <c r="F125" s="58" t="n">
        <v>3.1</v>
      </c>
      <c r="G125" s="58" t="n">
        <v>59.39</v>
      </c>
      <c r="H125" s="60" t="n">
        <v>19.5</v>
      </c>
      <c r="I125" s="58">
        <f>IF(D125="","",B125*D125/100)</f>
        <v/>
      </c>
      <c r="J125" s="56" t="n">
        <v>9</v>
      </c>
      <c r="K125" s="68" t="n">
        <v>1678</v>
      </c>
      <c r="L125" s="56" t="n">
        <v>30</v>
      </c>
      <c r="M125" s="56" t="n">
        <v>80</v>
      </c>
      <c r="N125" s="58">
        <f>AVERAGEIFS($B$4:$B$147,$A$4:$A$147,"&gt;"&amp;$A125-7,$A$4:$A$147,"&lt;="&amp;$A125)</f>
        <v/>
      </c>
      <c r="O125" s="58">
        <f>AVERAGEIFS($D$4:$D$147,$A$4:$A$147,"&gt;"&amp;$A125-7,$A$4:$A$147,"&lt;="&amp;$A125)</f>
        <v/>
      </c>
      <c r="P125" s="58">
        <f>AVERAGEIFS($G$4:$G$147,$A$4:$A$147,"&gt;"&amp;$A125-7,$A$4:$A$147,"&lt;="&amp;$A125)</f>
        <v/>
      </c>
      <c r="Q125" s="55">
        <f>INT(A125)</f>
        <v/>
      </c>
      <c r="R125" s="69" t="n">
        <v>46153.28680555556</v>
      </c>
    </row>
    <row r="126">
      <c r="A126" s="67" t="n">
        <v>46154.30555555555</v>
      </c>
      <c r="B126" s="58" t="n">
        <v>78.78</v>
      </c>
      <c r="C126" s="58" t="n">
        <v>24.863191</v>
      </c>
      <c r="D126" s="60" t="n">
        <v>20.9</v>
      </c>
      <c r="E126" s="60" t="n">
        <v>55.4</v>
      </c>
      <c r="F126" s="58" t="n">
        <v>3.1</v>
      </c>
      <c r="G126" s="58" t="n">
        <v>59.21</v>
      </c>
      <c r="H126" s="60" t="n">
        <v>19.5</v>
      </c>
      <c r="I126" s="58">
        <f>IF(D126="","",B126*D126/100)</f>
        <v/>
      </c>
      <c r="J126" s="56" t="n">
        <v>9</v>
      </c>
      <c r="K126" s="68" t="n">
        <v>1677</v>
      </c>
      <c r="L126" s="56" t="n">
        <v>30</v>
      </c>
      <c r="M126" s="56" t="n">
        <v>80</v>
      </c>
      <c r="N126" s="58">
        <f>AVERAGEIFS($B$4:$B$147,$A$4:$A$147,"&gt;"&amp;$A126-7,$A$4:$A$147,"&lt;="&amp;$A126)</f>
        <v/>
      </c>
      <c r="O126" s="58">
        <f>AVERAGEIFS($D$4:$D$147,$A$4:$A$147,"&gt;"&amp;$A126-7,$A$4:$A$147,"&lt;="&amp;$A126)</f>
        <v/>
      </c>
      <c r="P126" s="58">
        <f>AVERAGEIFS($G$4:$G$147,$A$4:$A$147,"&gt;"&amp;$A126-7,$A$4:$A$147,"&lt;="&amp;$A126)</f>
        <v/>
      </c>
      <c r="Q126" s="55">
        <f>INT(A126)</f>
        <v/>
      </c>
      <c r="R126" s="69" t="n">
        <v>46154.26388888889</v>
      </c>
    </row>
    <row r="127">
      <c r="A127" s="67" t="n">
        <v>46155.33055555556</v>
      </c>
      <c r="B127" s="58" t="n">
        <v>78.56</v>
      </c>
      <c r="C127" s="58" t="n">
        <v>24.79577</v>
      </c>
      <c r="D127" s="60" t="n">
        <v>20.8</v>
      </c>
      <c r="E127" s="60" t="n">
        <v>55.4</v>
      </c>
      <c r="F127" s="58" t="n">
        <v>3.1</v>
      </c>
      <c r="G127" s="58" t="n">
        <v>58.57</v>
      </c>
      <c r="H127" s="60" t="n">
        <v>19.5</v>
      </c>
      <c r="I127" s="58">
        <f>IF(D127="","",B127*D127/100)</f>
        <v/>
      </c>
      <c r="J127" s="56" t="n">
        <v>9</v>
      </c>
      <c r="K127" s="68" t="n">
        <v>1675</v>
      </c>
      <c r="L127" s="56" t="n">
        <v>30</v>
      </c>
      <c r="M127" s="56" t="n">
        <v>80</v>
      </c>
      <c r="N127" s="58">
        <f>AVERAGEIFS($B$4:$B$147,$A$4:$A$147,"&gt;"&amp;$A127-7,$A$4:$A$147,"&lt;="&amp;$A127)</f>
        <v/>
      </c>
      <c r="O127" s="58">
        <f>AVERAGEIFS($D$4:$D$147,$A$4:$A$147,"&gt;"&amp;$A127-7,$A$4:$A$147,"&lt;="&amp;$A127)</f>
        <v/>
      </c>
      <c r="P127" s="58">
        <f>AVERAGEIFS($G$4:$G$147,$A$4:$A$147,"&gt;"&amp;$A127-7,$A$4:$A$147,"&lt;="&amp;$A127)</f>
        <v/>
      </c>
      <c r="Q127" s="55">
        <f>INT(A127)</f>
        <v/>
      </c>
      <c r="R127" s="69" t="n">
        <v>46155.28888888889</v>
      </c>
    </row>
    <row r="128">
      <c r="A128" s="67" t="n">
        <v>46156.30069444444</v>
      </c>
      <c r="B128" s="58" t="n">
        <v>78.34999999999999</v>
      </c>
      <c r="C128" s="58" t="n">
        <v>24.729615</v>
      </c>
      <c r="D128" s="60" t="n">
        <v>20.6</v>
      </c>
      <c r="E128" s="60" t="n">
        <v>55.6</v>
      </c>
      <c r="F128" s="58" t="n">
        <v>3.1</v>
      </c>
      <c r="G128" s="58" t="n">
        <v>58.9</v>
      </c>
      <c r="H128" s="60" t="n">
        <v>19.5</v>
      </c>
      <c r="I128" s="58">
        <f>IF(D128="","",B128*D128/100)</f>
        <v/>
      </c>
      <c r="J128" s="56" t="n">
        <v>9</v>
      </c>
      <c r="K128" s="68" t="n">
        <v>1676</v>
      </c>
      <c r="L128" s="56" t="n">
        <v>30</v>
      </c>
      <c r="M128" s="56" t="n">
        <v>80</v>
      </c>
      <c r="N128" s="58">
        <f>AVERAGEIFS($B$4:$B$147,$A$4:$A$147,"&gt;"&amp;$A128-7,$A$4:$A$147,"&lt;="&amp;$A128)</f>
        <v/>
      </c>
      <c r="O128" s="58">
        <f>AVERAGEIFS($D$4:$D$147,$A$4:$A$147,"&gt;"&amp;$A128-7,$A$4:$A$147,"&lt;="&amp;$A128)</f>
        <v/>
      </c>
      <c r="P128" s="58">
        <f>AVERAGEIFS($G$4:$G$147,$A$4:$A$147,"&gt;"&amp;$A128-7,$A$4:$A$147,"&lt;="&amp;$A128)</f>
        <v/>
      </c>
      <c r="Q128" s="55">
        <f>INT(A128)</f>
        <v/>
      </c>
      <c r="R128" s="69" t="n">
        <v>46156.25902777778</v>
      </c>
    </row>
    <row r="129">
      <c r="A129" s="67" t="n">
        <v>46157.31111111111</v>
      </c>
      <c r="B129" s="58" t="n">
        <v>77.73999999999999</v>
      </c>
      <c r="C129" s="58" t="n">
        <v>24.537054</v>
      </c>
      <c r="D129" s="60" t="n">
        <v>20.5</v>
      </c>
      <c r="E129" s="60" t="n">
        <v>55.7</v>
      </c>
      <c r="F129" s="58" t="n">
        <v>3.1</v>
      </c>
      <c r="G129" s="58" t="n">
        <v>59.17</v>
      </c>
      <c r="H129" s="60" t="n">
        <v>19.5</v>
      </c>
      <c r="I129" s="58">
        <f>IF(D129="","",B129*D129/100)</f>
        <v/>
      </c>
      <c r="J129" s="56" t="n">
        <v>9</v>
      </c>
      <c r="K129" s="68" t="n">
        <v>1677</v>
      </c>
      <c r="L129" s="56" t="n">
        <v>30</v>
      </c>
      <c r="M129" s="56" t="n">
        <v>80</v>
      </c>
      <c r="N129" s="58">
        <f>AVERAGEIFS($B$4:$B$147,$A$4:$A$147,"&gt;"&amp;$A129-7,$A$4:$A$147,"&lt;="&amp;$A129)</f>
        <v/>
      </c>
      <c r="O129" s="58">
        <f>AVERAGEIFS($D$4:$D$147,$A$4:$A$147,"&gt;"&amp;$A129-7,$A$4:$A$147,"&lt;="&amp;$A129)</f>
        <v/>
      </c>
      <c r="P129" s="58">
        <f>AVERAGEIFS($G$4:$G$147,$A$4:$A$147,"&gt;"&amp;$A129-7,$A$4:$A$147,"&lt;="&amp;$A129)</f>
        <v/>
      </c>
      <c r="Q129" s="55">
        <f>INT(A129)</f>
        <v/>
      </c>
      <c r="R129" s="69" t="n">
        <v>46157.26944444444</v>
      </c>
    </row>
    <row r="130">
      <c r="A130" s="67" t="n">
        <v>46158.44097222222</v>
      </c>
      <c r="B130" s="58" t="n">
        <v>77.54000000000001</v>
      </c>
      <c r="C130" s="58" t="n">
        <v>24.474473</v>
      </c>
      <c r="D130" s="60" t="n">
        <v>20.9</v>
      </c>
      <c r="E130" s="60" t="n">
        <v>55.4</v>
      </c>
      <c r="F130" s="58" t="n">
        <v>3.1</v>
      </c>
      <c r="G130" s="58" t="n">
        <v>59.17</v>
      </c>
      <c r="H130" s="60" t="n">
        <v>19.5</v>
      </c>
      <c r="I130" s="58">
        <f>IF(D130="","",B130*D130/100)</f>
        <v/>
      </c>
      <c r="J130" s="56" t="n">
        <v>9</v>
      </c>
      <c r="K130" s="68" t="n">
        <v>1677</v>
      </c>
      <c r="L130" s="56" t="n">
        <v>30</v>
      </c>
      <c r="M130" s="56" t="n">
        <v>80</v>
      </c>
      <c r="N130" s="58">
        <f>AVERAGEIFS($B$4:$B$147,$A$4:$A$147,"&gt;"&amp;$A130-7,$A$4:$A$147,"&lt;="&amp;$A130)</f>
        <v/>
      </c>
      <c r="O130" s="58">
        <f>AVERAGEIFS($D$4:$D$147,$A$4:$A$147,"&gt;"&amp;$A130-7,$A$4:$A$147,"&lt;="&amp;$A130)</f>
        <v/>
      </c>
      <c r="P130" s="58">
        <f>AVERAGEIFS($G$4:$G$147,$A$4:$A$147,"&gt;"&amp;$A130-7,$A$4:$A$147,"&lt;="&amp;$A130)</f>
        <v/>
      </c>
      <c r="Q130" s="55">
        <f>INT(A130)</f>
        <v/>
      </c>
      <c r="R130" s="69" t="n">
        <v>46158.39930555555</v>
      </c>
    </row>
    <row r="131">
      <c r="A131" s="67" t="n">
        <v>46159.42986111111</v>
      </c>
      <c r="B131" s="58" t="n">
        <v>77.77</v>
      </c>
      <c r="C131" s="58" t="n">
        <v>24.546347</v>
      </c>
      <c r="D131" s="60" t="n">
        <v>21.2</v>
      </c>
      <c r="E131" s="60" t="n">
        <v>55.1</v>
      </c>
      <c r="F131" s="58" t="n">
        <v>3.1</v>
      </c>
      <c r="G131" s="58" t="n">
        <v>58.82</v>
      </c>
      <c r="H131" s="60" t="n">
        <v>19.5</v>
      </c>
      <c r="I131" s="58">
        <f>IF(D131="","",B131*D131/100)</f>
        <v/>
      </c>
      <c r="J131" s="56" t="n">
        <v>9</v>
      </c>
      <c r="K131" s="68" t="n">
        <v>1676</v>
      </c>
      <c r="L131" s="56" t="n">
        <v>30</v>
      </c>
      <c r="M131" s="56" t="n">
        <v>80</v>
      </c>
      <c r="N131" s="58">
        <f>AVERAGEIFS($B$4:$B$147,$A$4:$A$147,"&gt;"&amp;$A131-7,$A$4:$A$147,"&lt;="&amp;$A131)</f>
        <v/>
      </c>
      <c r="O131" s="58">
        <f>AVERAGEIFS($D$4:$D$147,$A$4:$A$147,"&gt;"&amp;$A131-7,$A$4:$A$147,"&lt;="&amp;$A131)</f>
        <v/>
      </c>
      <c r="P131" s="58">
        <f>AVERAGEIFS($G$4:$G$147,$A$4:$A$147,"&gt;"&amp;$A131-7,$A$4:$A$147,"&lt;="&amp;$A131)</f>
        <v/>
      </c>
      <c r="Q131" s="55">
        <f>INT(A131)</f>
        <v/>
      </c>
      <c r="R131" s="69" t="n">
        <v>46159.38819444444</v>
      </c>
    </row>
    <row r="132">
      <c r="A132" s="67" t="n">
        <v>46160.3125</v>
      </c>
      <c r="B132" s="58" t="n">
        <v>77.45</v>
      </c>
      <c r="C132" s="58" t="n">
        <v>24.445742</v>
      </c>
      <c r="D132" s="60" t="n">
        <v>20.2</v>
      </c>
      <c r="E132" s="60" t="n">
        <v>55.9</v>
      </c>
      <c r="F132" s="58" t="n">
        <v>3.1</v>
      </c>
      <c r="G132" s="58" t="n">
        <v>58.88</v>
      </c>
      <c r="H132" s="60" t="n">
        <v>19.5</v>
      </c>
      <c r="I132" s="58">
        <f>IF(D132="","",B132*D132/100)</f>
        <v/>
      </c>
      <c r="J132" s="56" t="n">
        <v>9</v>
      </c>
      <c r="K132" s="68" t="n">
        <v>1676</v>
      </c>
      <c r="L132" s="56" t="n">
        <v>30</v>
      </c>
      <c r="M132" s="56" t="n">
        <v>80</v>
      </c>
      <c r="N132" s="58">
        <f>AVERAGEIFS($B$4:$B$147,$A$4:$A$147,"&gt;"&amp;$A132-7,$A$4:$A$147,"&lt;="&amp;$A132)</f>
        <v/>
      </c>
      <c r="O132" s="58">
        <f>AVERAGEIFS($D$4:$D$147,$A$4:$A$147,"&gt;"&amp;$A132-7,$A$4:$A$147,"&lt;="&amp;$A132)</f>
        <v/>
      </c>
      <c r="P132" s="58">
        <f>AVERAGEIFS($G$4:$G$147,$A$4:$A$147,"&gt;"&amp;$A132-7,$A$4:$A$147,"&lt;="&amp;$A132)</f>
        <v/>
      </c>
      <c r="Q132" s="55">
        <f>INT(A132)</f>
        <v/>
      </c>
      <c r="R132" s="69" t="n">
        <v>46160.27083333334</v>
      </c>
    </row>
    <row r="133">
      <c r="A133" s="67" t="n">
        <v>46161.29861111111</v>
      </c>
      <c r="B133" s="58" t="n">
        <v>78.06999999999999</v>
      </c>
      <c r="C133" s="58" t="n">
        <v>24.639344</v>
      </c>
      <c r="D133" s="60" t="n">
        <v>20.7</v>
      </c>
      <c r="E133" s="60" t="n">
        <v>55.5</v>
      </c>
      <c r="F133" s="58" t="n">
        <v>3.1</v>
      </c>
      <c r="G133" s="58" t="n">
        <v>59.08</v>
      </c>
      <c r="H133" s="60" t="n">
        <v>19.5</v>
      </c>
      <c r="I133" s="58">
        <f>IF(D133="","",B133*D133/100)</f>
        <v/>
      </c>
      <c r="J133" s="56" t="n">
        <v>9</v>
      </c>
      <c r="K133" s="68" t="n">
        <v>1677</v>
      </c>
      <c r="L133" s="56" t="n">
        <v>30</v>
      </c>
      <c r="M133" s="56" t="n">
        <v>80</v>
      </c>
      <c r="N133" s="58">
        <f>AVERAGEIFS($B$4:$B$147,$A$4:$A$147,"&gt;"&amp;$A133-7,$A$4:$A$147,"&lt;="&amp;$A133)</f>
        <v/>
      </c>
      <c r="O133" s="58">
        <f>AVERAGEIFS($D$4:$D$147,$A$4:$A$147,"&gt;"&amp;$A133-7,$A$4:$A$147,"&lt;="&amp;$A133)</f>
        <v/>
      </c>
      <c r="P133" s="58">
        <f>AVERAGEIFS($G$4:$G$147,$A$4:$A$147,"&gt;"&amp;$A133-7,$A$4:$A$147,"&lt;="&amp;$A133)</f>
        <v/>
      </c>
      <c r="Q133" s="55">
        <f>INT(A133)</f>
        <v/>
      </c>
      <c r="R133" s="69" t="n">
        <v>46161.25694444445</v>
      </c>
    </row>
    <row r="134">
      <c r="A134" s="67" t="n">
        <v>46162.30625</v>
      </c>
      <c r="B134" s="58" t="n">
        <v>77.23999999999999</v>
      </c>
      <c r="C134" s="58" t="n">
        <v>24.379423</v>
      </c>
      <c r="D134" s="60" t="n">
        <v>20.9</v>
      </c>
      <c r="E134" s="60" t="n">
        <v>55.4</v>
      </c>
      <c r="F134" s="58" t="n">
        <v>3.1</v>
      </c>
      <c r="G134" s="58" t="n">
        <v>58.95</v>
      </c>
      <c r="H134" s="60" t="n">
        <v>19.5</v>
      </c>
      <c r="I134" s="58">
        <f>IF(D134="","",B134*D134/100)</f>
        <v/>
      </c>
      <c r="J134" s="56" t="n">
        <v>9</v>
      </c>
      <c r="K134" s="68" t="n">
        <v>1676</v>
      </c>
      <c r="L134" s="56" t="n">
        <v>30</v>
      </c>
      <c r="M134" s="56" t="n">
        <v>80</v>
      </c>
      <c r="N134" s="58">
        <f>AVERAGEIFS($B$4:$B$147,$A$4:$A$147,"&gt;"&amp;$A134-7,$A$4:$A$147,"&lt;="&amp;$A134)</f>
        <v/>
      </c>
      <c r="O134" s="58">
        <f>AVERAGEIFS($D$4:$D$147,$A$4:$A$147,"&gt;"&amp;$A134-7,$A$4:$A$147,"&lt;="&amp;$A134)</f>
        <v/>
      </c>
      <c r="P134" s="58">
        <f>AVERAGEIFS($G$4:$G$147,$A$4:$A$147,"&gt;"&amp;$A134-7,$A$4:$A$147,"&lt;="&amp;$A134)</f>
        <v/>
      </c>
      <c r="Q134" s="55">
        <f>INT(A134)</f>
        <v/>
      </c>
      <c r="R134" s="69" t="n">
        <v>46162.26458333333</v>
      </c>
    </row>
    <row r="135">
      <c r="A135" s="67" t="n">
        <v>46163.3</v>
      </c>
      <c r="B135" s="58" t="n">
        <v>77.61</v>
      </c>
      <c r="C135" s="58" t="n">
        <v>24.496504</v>
      </c>
      <c r="D135" s="60" t="n">
        <v>20.7</v>
      </c>
      <c r="E135" s="60" t="n">
        <v>55.5</v>
      </c>
      <c r="F135" s="58" t="n">
        <v>3.1</v>
      </c>
      <c r="G135" s="58" t="n">
        <v>58.75</v>
      </c>
      <c r="H135" s="60" t="n">
        <v>19.5</v>
      </c>
      <c r="I135" s="58">
        <f>IF(D135="","",B135*D135/100)</f>
        <v/>
      </c>
      <c r="J135" s="56" t="n">
        <v>9</v>
      </c>
      <c r="K135" s="68" t="n">
        <v>1676</v>
      </c>
      <c r="L135" s="56" t="n">
        <v>30</v>
      </c>
      <c r="M135" s="56" t="n">
        <v>80</v>
      </c>
      <c r="N135" s="58">
        <f>AVERAGEIFS($B$4:$B$147,$A$4:$A$147,"&gt;"&amp;$A135-7,$A$4:$A$147,"&lt;="&amp;$A135)</f>
        <v/>
      </c>
      <c r="O135" s="58">
        <f>AVERAGEIFS($D$4:$D$147,$A$4:$A$147,"&gt;"&amp;$A135-7,$A$4:$A$147,"&lt;="&amp;$A135)</f>
        <v/>
      </c>
      <c r="P135" s="58">
        <f>AVERAGEIFS($G$4:$G$147,$A$4:$A$147,"&gt;"&amp;$A135-7,$A$4:$A$147,"&lt;="&amp;$A135)</f>
        <v/>
      </c>
      <c r="Q135" s="55">
        <f>INT(A135)</f>
        <v/>
      </c>
      <c r="R135" s="69" t="n">
        <v>46163.25833333333</v>
      </c>
    </row>
    <row r="136">
      <c r="A136" s="67" t="n">
        <v>46164.32708333333</v>
      </c>
      <c r="B136" s="58" t="n">
        <v>77.45</v>
      </c>
      <c r="C136" s="58" t="n">
        <v>24.445914</v>
      </c>
      <c r="D136" s="60" t="n">
        <v>19.6</v>
      </c>
      <c r="E136" s="60" t="n">
        <v>56.2</v>
      </c>
      <c r="F136" s="58" t="n">
        <v>3.1</v>
      </c>
      <c r="G136" s="58" t="n">
        <v>58.73</v>
      </c>
      <c r="H136" s="60" t="n">
        <v>19.5</v>
      </c>
      <c r="I136" s="58">
        <f>IF(D136="","",B136*D136/100)</f>
        <v/>
      </c>
      <c r="J136" s="56" t="n">
        <v>8</v>
      </c>
      <c r="K136" s="68" t="n">
        <v>1676</v>
      </c>
      <c r="L136" s="56" t="n">
        <v>30</v>
      </c>
      <c r="M136" s="56" t="n">
        <v>80</v>
      </c>
      <c r="N136" s="58">
        <f>AVERAGEIFS($B$4:$B$147,$A$4:$A$147,"&gt;"&amp;$A136-7,$A$4:$A$147,"&lt;="&amp;$A136)</f>
        <v/>
      </c>
      <c r="O136" s="58">
        <f>AVERAGEIFS($D$4:$D$147,$A$4:$A$147,"&gt;"&amp;$A136-7,$A$4:$A$147,"&lt;="&amp;$A136)</f>
        <v/>
      </c>
      <c r="P136" s="58">
        <f>AVERAGEIFS($G$4:$G$147,$A$4:$A$147,"&gt;"&amp;$A136-7,$A$4:$A$147,"&lt;="&amp;$A136)</f>
        <v/>
      </c>
      <c r="Q136" s="55">
        <f>INT(A136)</f>
        <v/>
      </c>
      <c r="R136" s="69" t="n">
        <v>46164.28541666667</v>
      </c>
    </row>
    <row r="137">
      <c r="A137" s="67" t="n">
        <v>46165.43472222222</v>
      </c>
      <c r="B137" s="58" t="n">
        <v>77.08</v>
      </c>
      <c r="C137" s="58" t="n">
        <v>24.329009</v>
      </c>
      <c r="D137" s="60" t="n">
        <v>20.8</v>
      </c>
      <c r="E137" s="60" t="n">
        <v>55.4</v>
      </c>
      <c r="F137" s="58" t="n">
        <v>3.1</v>
      </c>
      <c r="G137" s="58" t="n">
        <v>58.99</v>
      </c>
      <c r="H137" s="60" t="n">
        <v>19.5</v>
      </c>
      <c r="I137" s="58">
        <f>IF(D137="","",B137*D137/100)</f>
        <v/>
      </c>
      <c r="J137" s="56" t="n">
        <v>9</v>
      </c>
      <c r="K137" s="68" t="n">
        <v>1676</v>
      </c>
      <c r="L137" s="56" t="n">
        <v>30</v>
      </c>
      <c r="M137" s="56" t="n">
        <v>80</v>
      </c>
      <c r="N137" s="58">
        <f>AVERAGEIFS($B$4:$B$147,$A$4:$A$147,"&gt;"&amp;$A137-7,$A$4:$A$147,"&lt;="&amp;$A137)</f>
        <v/>
      </c>
      <c r="O137" s="58">
        <f>AVERAGEIFS($D$4:$D$147,$A$4:$A$147,"&gt;"&amp;$A137-7,$A$4:$A$147,"&lt;="&amp;$A137)</f>
        <v/>
      </c>
      <c r="P137" s="58">
        <f>AVERAGEIFS($G$4:$G$147,$A$4:$A$147,"&gt;"&amp;$A137-7,$A$4:$A$147,"&lt;="&amp;$A137)</f>
        <v/>
      </c>
      <c r="Q137" s="55">
        <f>INT(A137)</f>
        <v/>
      </c>
      <c r="R137" s="69" t="n">
        <v>46165.39305555556</v>
      </c>
    </row>
    <row r="138">
      <c r="A138" s="67" t="n">
        <v>46166.43819444445</v>
      </c>
      <c r="B138" s="58" t="n">
        <v>77.73999999999999</v>
      </c>
      <c r="C138" s="58" t="n">
        <v>24.534706</v>
      </c>
      <c r="D138" s="60" t="n">
        <v>20.2</v>
      </c>
      <c r="E138" s="60" t="n">
        <v>55.9</v>
      </c>
      <c r="F138" s="58" t="n">
        <v>3.1</v>
      </c>
      <c r="G138" s="58" t="n">
        <v>59.59</v>
      </c>
      <c r="H138" s="60" t="n">
        <v>19.5</v>
      </c>
      <c r="I138" s="58">
        <f>IF(D138="","",B138*D138/100)</f>
        <v/>
      </c>
      <c r="J138" s="56" t="n">
        <v>9</v>
      </c>
      <c r="K138" s="68" t="n">
        <v>1678</v>
      </c>
      <c r="L138" s="56" t="n">
        <v>30</v>
      </c>
      <c r="M138" s="56" t="n">
        <v>80</v>
      </c>
      <c r="N138" s="58">
        <f>AVERAGEIFS($B$4:$B$147,$A$4:$A$147,"&gt;"&amp;$A138-7,$A$4:$A$147,"&lt;="&amp;$A138)</f>
        <v/>
      </c>
      <c r="O138" s="58">
        <f>AVERAGEIFS($D$4:$D$147,$A$4:$A$147,"&gt;"&amp;$A138-7,$A$4:$A$147,"&lt;="&amp;$A138)</f>
        <v/>
      </c>
      <c r="P138" s="58">
        <f>AVERAGEIFS($G$4:$G$147,$A$4:$A$147,"&gt;"&amp;$A138-7,$A$4:$A$147,"&lt;="&amp;$A138)</f>
        <v/>
      </c>
      <c r="Q138" s="55">
        <f>INT(A138)</f>
        <v/>
      </c>
      <c r="R138" s="69" t="n">
        <v>46166.39652777778</v>
      </c>
    </row>
    <row r="139">
      <c r="A139" s="67" t="n">
        <v>46167.31388888889</v>
      </c>
      <c r="B139" s="58" t="n">
        <v>76.81</v>
      </c>
      <c r="C139" s="58" t="n">
        <v>24.243074</v>
      </c>
      <c r="D139" s="60" t="n">
        <v>20.2</v>
      </c>
      <c r="E139" s="60" t="n">
        <v>55.9</v>
      </c>
      <c r="F139" s="58" t="n">
        <v>3.1</v>
      </c>
      <c r="G139" s="58" t="n">
        <v>59</v>
      </c>
      <c r="H139" s="60" t="n">
        <v>19.5</v>
      </c>
      <c r="I139" s="58">
        <f>IF(D139="","",B139*D139/100)</f>
        <v/>
      </c>
      <c r="J139" s="56" t="n">
        <v>9</v>
      </c>
      <c r="K139" s="68" t="n">
        <v>1677</v>
      </c>
      <c r="L139" s="56" t="n">
        <v>30</v>
      </c>
      <c r="M139" s="56" t="n">
        <v>80</v>
      </c>
      <c r="N139" s="58">
        <f>AVERAGEIFS($B$4:$B$147,$A$4:$A$147,"&gt;"&amp;$A139-7,$A$4:$A$147,"&lt;="&amp;$A139)</f>
        <v/>
      </c>
      <c r="O139" s="58">
        <f>AVERAGEIFS($D$4:$D$147,$A$4:$A$147,"&gt;"&amp;$A139-7,$A$4:$A$147,"&lt;="&amp;$A139)</f>
        <v/>
      </c>
      <c r="P139" s="58">
        <f>AVERAGEIFS($G$4:$G$147,$A$4:$A$147,"&gt;"&amp;$A139-7,$A$4:$A$147,"&lt;="&amp;$A139)</f>
        <v/>
      </c>
      <c r="Q139" s="55">
        <f>INT(A139)</f>
        <v/>
      </c>
      <c r="R139" s="69" t="n">
        <v>46167.27222222222</v>
      </c>
    </row>
    <row r="140">
      <c r="A140" s="67" t="n">
        <v>46167.31597222222</v>
      </c>
      <c r="B140" s="58" t="n">
        <v>76.70999999999999</v>
      </c>
      <c r="C140" s="58" t="n">
        <v>24.211512</v>
      </c>
      <c r="D140" s="60" t="n">
        <v>20.2</v>
      </c>
      <c r="E140" s="60" t="n">
        <v>55.9</v>
      </c>
      <c r="F140" s="58" t="n">
        <v>3.1</v>
      </c>
      <c r="G140" s="58" t="n">
        <v>59</v>
      </c>
      <c r="H140" s="60" t="n">
        <v>19.5</v>
      </c>
      <c r="I140" s="58">
        <f>IF(D140="","",B140*D140/100)</f>
        <v/>
      </c>
      <c r="J140" s="56" t="n">
        <v>9</v>
      </c>
      <c r="K140" s="68" t="n">
        <v>1677</v>
      </c>
      <c r="L140" s="56" t="n">
        <v>30</v>
      </c>
      <c r="M140" s="56" t="n">
        <v>80</v>
      </c>
      <c r="N140" s="58">
        <f>AVERAGEIFS($B$4:$B$147,$A$4:$A$147,"&gt;"&amp;$A140-7,$A$4:$A$147,"&lt;="&amp;$A140)</f>
        <v/>
      </c>
      <c r="O140" s="58">
        <f>AVERAGEIFS($D$4:$D$147,$A$4:$A$147,"&gt;"&amp;$A140-7,$A$4:$A$147,"&lt;="&amp;$A140)</f>
        <v/>
      </c>
      <c r="P140" s="58">
        <f>AVERAGEIFS($G$4:$G$147,$A$4:$A$147,"&gt;"&amp;$A140-7,$A$4:$A$147,"&lt;="&amp;$A140)</f>
        <v/>
      </c>
      <c r="Q140" s="55">
        <f>INT(A140)</f>
        <v/>
      </c>
      <c r="R140" s="69" t="n">
        <v>46167.27430555555</v>
      </c>
    </row>
    <row r="141">
      <c r="A141" s="67" t="n">
        <v>46168.30833333333</v>
      </c>
      <c r="B141" s="58" t="n">
        <v>77.25</v>
      </c>
      <c r="C141" s="58" t="n">
        <v>24.380675</v>
      </c>
      <c r="D141" s="60" t="n">
        <v>19.9</v>
      </c>
      <c r="E141" s="60" t="n">
        <v>56.1</v>
      </c>
      <c r="F141" s="58" t="n">
        <v>3.1</v>
      </c>
      <c r="G141" s="58" t="n">
        <v>59.09</v>
      </c>
      <c r="H141" s="60" t="n">
        <v>19.5</v>
      </c>
      <c r="I141" s="58">
        <f>IF(D141="","",B141*D141/100)</f>
        <v/>
      </c>
      <c r="J141" s="56" t="n">
        <v>8</v>
      </c>
      <c r="K141" s="68" t="n">
        <v>1677</v>
      </c>
      <c r="L141" s="56" t="n">
        <v>30</v>
      </c>
      <c r="M141" s="56" t="n">
        <v>80</v>
      </c>
      <c r="N141" s="58">
        <f>AVERAGEIFS($B$4:$B$147,$A$4:$A$147,"&gt;"&amp;$A141-7,$A$4:$A$147,"&lt;="&amp;$A141)</f>
        <v/>
      </c>
      <c r="O141" s="58">
        <f>AVERAGEIFS($D$4:$D$147,$A$4:$A$147,"&gt;"&amp;$A141-7,$A$4:$A$147,"&lt;="&amp;$A141)</f>
        <v/>
      </c>
      <c r="P141" s="58">
        <f>AVERAGEIFS($G$4:$G$147,$A$4:$A$147,"&gt;"&amp;$A141-7,$A$4:$A$147,"&lt;="&amp;$A141)</f>
        <v/>
      </c>
      <c r="Q141" s="55">
        <f>INT(A141)</f>
        <v/>
      </c>
      <c r="R141" s="69" t="n">
        <v>46168.26666666667</v>
      </c>
    </row>
    <row r="142">
      <c r="A142" s="67" t="n">
        <v>46169.32916666667</v>
      </c>
      <c r="B142" s="58" t="n">
        <v>77.69</v>
      </c>
      <c r="C142" s="58" t="n">
        <v>24.519611</v>
      </c>
      <c r="D142" s="60" t="n">
        <v>19.3</v>
      </c>
      <c r="E142" s="60" t="n">
        <v>56.5</v>
      </c>
      <c r="F142" s="58" t="n">
        <v>3.1</v>
      </c>
      <c r="G142" s="58" t="n">
        <v>59.11</v>
      </c>
      <c r="H142" s="60" t="n">
        <v>19.5</v>
      </c>
      <c r="I142" s="58">
        <f>IF(D142="","",B142*D142/100)</f>
        <v/>
      </c>
      <c r="J142" s="56" t="n">
        <v>8</v>
      </c>
      <c r="K142" s="68" t="n">
        <v>1677</v>
      </c>
      <c r="L142" s="56" t="n">
        <v>30</v>
      </c>
      <c r="M142" s="56" t="n">
        <v>80</v>
      </c>
      <c r="N142" s="58">
        <f>AVERAGEIFS($B$4:$B$147,$A$4:$A$147,"&gt;"&amp;$A142-7,$A$4:$A$147,"&lt;="&amp;$A142)</f>
        <v/>
      </c>
      <c r="O142" s="58">
        <f>AVERAGEIFS($D$4:$D$147,$A$4:$A$147,"&gt;"&amp;$A142-7,$A$4:$A$147,"&lt;="&amp;$A142)</f>
        <v/>
      </c>
      <c r="P142" s="58">
        <f>AVERAGEIFS($G$4:$G$147,$A$4:$A$147,"&gt;"&amp;$A142-7,$A$4:$A$147,"&lt;="&amp;$A142)</f>
        <v/>
      </c>
      <c r="Q142" s="55">
        <f>INT(A142)</f>
        <v/>
      </c>
      <c r="R142" s="69" t="n">
        <v>46169.2875</v>
      </c>
    </row>
    <row r="143">
      <c r="A143" s="67" t="n">
        <v>46170.32708333333</v>
      </c>
      <c r="B143" s="58" t="n">
        <v>77.54000000000001</v>
      </c>
      <c r="C143" s="58" t="n">
        <v>24.474213</v>
      </c>
      <c r="D143" s="60" t="n">
        <v>19.7</v>
      </c>
      <c r="E143" s="60" t="n">
        <v>56.2</v>
      </c>
      <c r="F143" s="58" t="n">
        <v>3.1</v>
      </c>
      <c r="G143" s="58" t="n">
        <v>58.98</v>
      </c>
      <c r="H143" s="60" t="n">
        <v>19.5</v>
      </c>
      <c r="I143" s="58">
        <f>IF(D143="","",B143*D143/100)</f>
        <v/>
      </c>
      <c r="J143" s="56" t="n">
        <v>8</v>
      </c>
      <c r="K143" s="68" t="n">
        <v>1676</v>
      </c>
      <c r="L143" s="56" t="n">
        <v>30</v>
      </c>
      <c r="M143" s="56" t="n">
        <v>80</v>
      </c>
      <c r="N143" s="58">
        <f>AVERAGEIFS($B$4:$B$147,$A$4:$A$147,"&gt;"&amp;$A143-7,$A$4:$A$147,"&lt;="&amp;$A143)</f>
        <v/>
      </c>
      <c r="O143" s="58">
        <f>AVERAGEIFS($D$4:$D$147,$A$4:$A$147,"&gt;"&amp;$A143-7,$A$4:$A$147,"&lt;="&amp;$A143)</f>
        <v/>
      </c>
      <c r="P143" s="58">
        <f>AVERAGEIFS($G$4:$G$147,$A$4:$A$147,"&gt;"&amp;$A143-7,$A$4:$A$147,"&lt;="&amp;$A143)</f>
        <v/>
      </c>
      <c r="Q143" s="55">
        <f>INT(A143)</f>
        <v/>
      </c>
      <c r="R143" s="69" t="n">
        <v>46170.28541666667</v>
      </c>
    </row>
    <row r="144">
      <c r="A144" s="67" t="n">
        <v>46172.45763888889</v>
      </c>
      <c r="B144" s="58" t="n">
        <v>77.56999999999999</v>
      </c>
      <c r="C144" s="58" t="n">
        <v>24.483184</v>
      </c>
      <c r="D144" s="60" t="n">
        <v>19.9</v>
      </c>
      <c r="E144" s="60" t="n">
        <v>56.1</v>
      </c>
      <c r="F144" s="58" t="n">
        <v>3.1</v>
      </c>
      <c r="G144" s="58" t="n">
        <v>58.65</v>
      </c>
      <c r="H144" s="60" t="n">
        <v>19.5</v>
      </c>
      <c r="I144" s="58">
        <f>IF(D144="","",B144*D144/100)</f>
        <v/>
      </c>
      <c r="J144" s="56" t="n">
        <v>8</v>
      </c>
      <c r="K144" s="68" t="n">
        <v>1675</v>
      </c>
      <c r="L144" s="56" t="n">
        <v>30</v>
      </c>
      <c r="M144" s="56" t="n">
        <v>80</v>
      </c>
      <c r="N144" s="58">
        <f>AVERAGEIFS($B$4:$B$147,$A$4:$A$147,"&gt;"&amp;$A144-7,$A$4:$A$147,"&lt;="&amp;$A144)</f>
        <v/>
      </c>
      <c r="O144" s="58">
        <f>AVERAGEIFS($D$4:$D$147,$A$4:$A$147,"&gt;"&amp;$A144-7,$A$4:$A$147,"&lt;="&amp;$A144)</f>
        <v/>
      </c>
      <c r="P144" s="58">
        <f>AVERAGEIFS($G$4:$G$147,$A$4:$A$147,"&gt;"&amp;$A144-7,$A$4:$A$147,"&lt;="&amp;$A144)</f>
        <v/>
      </c>
      <c r="Q144" s="55">
        <f>INT(A144)</f>
        <v/>
      </c>
      <c r="R144" s="69" t="n">
        <v>46172.41597222222</v>
      </c>
    </row>
    <row r="145">
      <c r="A145" s="67" t="n">
        <v>46173.42638888889</v>
      </c>
      <c r="B145" s="58" t="n">
        <v>77.22</v>
      </c>
      <c r="C145" s="58" t="n">
        <v>24.370646</v>
      </c>
      <c r="D145" s="60" t="n">
        <v>20.4</v>
      </c>
      <c r="E145" s="60" t="n">
        <v>55.7</v>
      </c>
      <c r="F145" s="58" t="n">
        <v>3.1</v>
      </c>
      <c r="G145" s="58" t="n">
        <v>59.16</v>
      </c>
      <c r="H145" s="60" t="n">
        <v>19.5</v>
      </c>
      <c r="I145" s="58">
        <f>IF(D145="","",B145*D145/100)</f>
        <v/>
      </c>
      <c r="J145" s="56" t="n">
        <v>9</v>
      </c>
      <c r="K145" s="68" t="n">
        <v>1677</v>
      </c>
      <c r="L145" s="56" t="n">
        <v>30</v>
      </c>
      <c r="M145" s="56" t="n">
        <v>80</v>
      </c>
      <c r="N145" s="58">
        <f>AVERAGEIFS($B$4:$B$147,$A$4:$A$147,"&gt;"&amp;$A145-7,$A$4:$A$147,"&lt;="&amp;$A145)</f>
        <v/>
      </c>
      <c r="O145" s="58">
        <f>AVERAGEIFS($D$4:$D$147,$A$4:$A$147,"&gt;"&amp;$A145-7,$A$4:$A$147,"&lt;="&amp;$A145)</f>
        <v/>
      </c>
      <c r="P145" s="58">
        <f>AVERAGEIFS($G$4:$G$147,$A$4:$A$147,"&gt;"&amp;$A145-7,$A$4:$A$147,"&lt;="&amp;$A145)</f>
        <v/>
      </c>
      <c r="Q145" s="55">
        <f>INT(A145)</f>
        <v/>
      </c>
      <c r="R145" s="69" t="n">
        <v>46173.38472222222</v>
      </c>
    </row>
    <row r="146">
      <c r="A146" s="67" t="n">
        <v>46174.32777777778</v>
      </c>
      <c r="B146" s="58" t="n">
        <v>77</v>
      </c>
      <c r="C146" s="58" t="n">
        <v>24.303769</v>
      </c>
      <c r="D146" s="60" t="n">
        <v>19.5</v>
      </c>
      <c r="E146" s="60" t="n">
        <v>56.4</v>
      </c>
      <c r="F146" s="58" t="n">
        <v>3.1</v>
      </c>
      <c r="G146" s="58" t="n">
        <v>58.93</v>
      </c>
      <c r="H146" s="60" t="n">
        <v>19.5</v>
      </c>
      <c r="I146" s="58">
        <f>IF(D146="","",B146*D146/100)</f>
        <v/>
      </c>
      <c r="J146" s="56" t="n">
        <v>8</v>
      </c>
      <c r="K146" s="68" t="n">
        <v>1676</v>
      </c>
      <c r="L146" s="56" t="n">
        <v>30</v>
      </c>
      <c r="M146" s="56" t="n">
        <v>80</v>
      </c>
      <c r="N146" s="58">
        <f>AVERAGEIFS($B$4:$B$147,$A$4:$A$147,"&gt;"&amp;$A146-7,$A$4:$A$147,"&lt;="&amp;$A146)</f>
        <v/>
      </c>
      <c r="O146" s="58">
        <f>AVERAGEIFS($D$4:$D$147,$A$4:$A$147,"&gt;"&amp;$A146-7,$A$4:$A$147,"&lt;="&amp;$A146)</f>
        <v/>
      </c>
      <c r="P146" s="58">
        <f>AVERAGEIFS($G$4:$G$147,$A$4:$A$147,"&gt;"&amp;$A146-7,$A$4:$A$147,"&lt;="&amp;$A146)</f>
        <v/>
      </c>
      <c r="Q146" s="55">
        <f>INT(A146)</f>
        <v/>
      </c>
      <c r="R146" s="69" t="n">
        <v>46174.28611111111</v>
      </c>
    </row>
    <row r="147">
      <c r="A147" s="67" t="n">
        <v>46175.29305555556</v>
      </c>
      <c r="B147" s="58" t="n">
        <v>76.66</v>
      </c>
      <c r="C147" s="58" t="n">
        <v>24.195606</v>
      </c>
      <c r="D147" s="60" t="n">
        <v>20.2</v>
      </c>
      <c r="E147" s="60" t="n">
        <v>55.8</v>
      </c>
      <c r="F147" s="58" t="n">
        <v>3.1</v>
      </c>
      <c r="G147" s="58" t="n">
        <v>58.91</v>
      </c>
      <c r="H147" s="60" t="n">
        <v>19.5</v>
      </c>
      <c r="I147" s="58">
        <f>IF(D147="","",B147*D147/100)</f>
        <v/>
      </c>
      <c r="J147" s="56" t="n">
        <v>9</v>
      </c>
      <c r="K147" s="68" t="n">
        <v>1676</v>
      </c>
      <c r="L147" s="56" t="n">
        <v>30</v>
      </c>
      <c r="M147" s="56" t="n">
        <v>80</v>
      </c>
      <c r="N147" s="58">
        <f>AVERAGEIFS($B$4:$B$147,$A$4:$A$147,"&gt;"&amp;$A147-7,$A$4:$A$147,"&lt;="&amp;$A147)</f>
        <v/>
      </c>
      <c r="O147" s="58">
        <f>AVERAGEIFS($D$4:$D$147,$A$4:$A$147,"&gt;"&amp;$A147-7,$A$4:$A$147,"&lt;="&amp;$A147)</f>
        <v/>
      </c>
      <c r="P147" s="58">
        <f>AVERAGEIFS($G$4:$G$147,$A$4:$A$147,"&gt;"&amp;$A147-7,$A$4:$A$147,"&lt;="&amp;$A147)</f>
        <v/>
      </c>
      <c r="Q147" s="55">
        <f>INT(A147)</f>
        <v/>
      </c>
      <c r="R147" s="69" t="n">
        <v>46175.25138888889</v>
      </c>
    </row>
  </sheetData>
  <mergeCells count="2">
    <mergeCell ref="A2:R2"/>
    <mergeCell ref="A1:R1"/>
  </mergeCells>
  <pageMargins left="0.75" right="0.75" top="1" bottom="1" header="0.5" footer="0.5"/>
  <ignoredErrors>
    <ignoredError sqref="A1:Z3000" formula="1" formulaRange="1" numberStoredAsText="1"/>
  </ignoredErrors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6" customWidth="1" min="3" max="3"/>
    <col width="22" customWidth="1" min="4" max="4"/>
    <col width="14" customWidth="1" min="5" max="5"/>
    <col width="20" customWidth="1" min="6" max="6"/>
  </cols>
  <sheetData>
    <row r="1" ht="32" customHeight="1">
      <c r="A1" s="1" t="inlineStr">
        <is>
          <t>Critérios e qualidade dos dados</t>
        </is>
      </c>
    </row>
    <row r="2" ht="20" customHeight="1">
      <c r="A2" s="49" t="inlineStr">
        <is>
          <t>Atualizado em 11/10/2026 16:40</t>
        </is>
      </c>
    </row>
    <row r="3" ht="58" customHeight="1">
      <c r="A3" s="50" t="inlineStr">
        <is>
          <t>Campo</t>
        </is>
      </c>
      <c r="B3" s="50" t="inlineStr">
        <is>
          <t>Unidade</t>
        </is>
      </c>
      <c r="C3" s="50" t="inlineStr">
        <is>
          <t>Significado</t>
        </is>
      </c>
      <c r="D3" s="50" t="inlineStr">
        <is>
          <t>Cobertura</t>
        </is>
      </c>
      <c r="E3" s="50" t="inlineStr">
        <is>
          <t>Origem</t>
        </is>
      </c>
      <c r="F3" s="50" t="inlineStr">
        <is>
          <t>Campo na exportação</t>
        </is>
      </c>
    </row>
    <row r="4">
      <c r="A4" s="70" t="inlineStr">
        <is>
          <t>Peso</t>
        </is>
      </c>
      <c r="B4" s="70" t="inlineStr">
        <is>
          <t>kg</t>
        </is>
      </c>
      <c r="C4" s="70" t="inlineStr">
        <is>
          <t>Peso medido pela balança</t>
        </is>
      </c>
      <c r="D4" s="70" t="inlineStr">
        <is>
          <t>144 de 144 leituras</t>
        </is>
      </c>
      <c r="E4" s="70" t="inlineStr">
        <is>
          <t>balança</t>
        </is>
      </c>
      <c r="F4" s="70" t="inlineStr">
        <is>
          <t>Weight</t>
        </is>
      </c>
    </row>
    <row r="5">
      <c r="A5" s="70" t="inlineStr">
        <is>
          <t>Altura</t>
        </is>
      </c>
      <c r="B5" s="70" t="inlineStr">
        <is>
          <t>cm</t>
        </is>
      </c>
      <c r="C5" s="70" t="inlineStr">
        <is>
          <t>Altura do perfil associada à leitura</t>
        </is>
      </c>
      <c r="D5" s="70" t="inlineStr">
        <is>
          <t>144 de 144 leituras</t>
        </is>
      </c>
      <c r="E5" s="70" t="inlineStr">
        <is>
          <t>aplicação</t>
        </is>
      </c>
      <c r="F5" s="70" t="inlineStr">
        <is>
          <t>Height</t>
        </is>
      </c>
    </row>
    <row r="6">
      <c r="A6" s="70" t="inlineStr">
        <is>
          <t>IMC</t>
        </is>
      </c>
      <c r="B6" s="70" t="inlineStr">
        <is>
          <t>kg/m²</t>
        </is>
      </c>
      <c r="C6" s="70" t="inlineStr">
        <is>
          <t>Índice de massa corporal</t>
        </is>
      </c>
      <c r="D6" s="70" t="inlineStr">
        <is>
          <t>144 de 144 leituras</t>
        </is>
      </c>
      <c r="E6" s="70" t="inlineStr">
        <is>
          <t>aplicação</t>
        </is>
      </c>
      <c r="F6" s="70" t="inlineStr">
        <is>
          <t>BMI</t>
        </is>
      </c>
    </row>
    <row r="7">
      <c r="A7" s="70" t="inlineStr">
        <is>
          <t>Gordura corporal</t>
        </is>
      </c>
      <c r="B7" s="70" t="inlineStr">
        <is>
          <t>%</t>
        </is>
      </c>
      <c r="C7" s="70" t="inlineStr">
        <is>
          <t>Estimativa por bioimpedância</t>
        </is>
      </c>
      <c r="D7" s="70" t="inlineStr">
        <is>
          <t>144 de 144 leituras</t>
        </is>
      </c>
      <c r="E7" s="70" t="inlineStr">
        <is>
          <t>aplicação</t>
        </is>
      </c>
      <c r="F7" s="70" t="inlineStr">
        <is>
          <t>BodyFat</t>
        </is>
      </c>
    </row>
    <row r="8">
      <c r="A8" s="70" t="inlineStr">
        <is>
          <t>Água corporal</t>
        </is>
      </c>
      <c r="B8" s="70" t="inlineStr">
        <is>
          <t>%</t>
        </is>
      </c>
      <c r="C8" s="70" t="inlineStr">
        <is>
          <t>Estimativa de água corporal</t>
        </is>
      </c>
      <c r="D8" s="70" t="inlineStr">
        <is>
          <t>144 de 144 leituras</t>
        </is>
      </c>
      <c r="E8" s="70" t="inlineStr">
        <is>
          <t>aplicação</t>
        </is>
      </c>
      <c r="F8" s="70" t="inlineStr">
        <is>
          <t>BodyWater</t>
        </is>
      </c>
    </row>
    <row r="9">
      <c r="A9" s="70" t="inlineStr">
        <is>
          <t>Massa óssea</t>
        </is>
      </c>
      <c r="B9" s="70" t="inlineStr">
        <is>
          <t>kg</t>
        </is>
      </c>
      <c r="C9" s="70" t="inlineStr">
        <is>
          <t>Estimativa; não é densidade mineral óssea</t>
        </is>
      </c>
      <c r="D9" s="70" t="inlineStr">
        <is>
          <t>144 de 144 leituras</t>
        </is>
      </c>
      <c r="E9" s="70" t="inlineStr">
        <is>
          <t>aplicação</t>
        </is>
      </c>
      <c r="F9" s="70" t="inlineStr">
        <is>
          <t>BoneMass</t>
        </is>
      </c>
    </row>
    <row r="10">
      <c r="A10" s="70" t="inlineStr">
        <is>
          <t>Massa muscular</t>
        </is>
      </c>
      <c r="B10" s="70" t="inlineStr">
        <is>
          <t>kg</t>
        </is>
      </c>
      <c r="C10" s="70" t="inlineStr">
        <is>
          <t>Estimativa de massa muscular</t>
        </is>
      </c>
      <c r="D10" s="70" t="inlineStr">
        <is>
          <t>144 de 144 leituras</t>
        </is>
      </c>
      <c r="E10" s="70" t="inlineStr">
        <is>
          <t>aplicação</t>
        </is>
      </c>
      <c r="F10" s="70" t="inlineStr">
        <is>
          <t>MuscleMass</t>
        </is>
      </c>
    </row>
    <row r="11">
      <c r="A11" s="70" t="inlineStr">
        <is>
          <t>Proteína</t>
        </is>
      </c>
      <c r="B11" s="70" t="inlineStr">
        <is>
          <t>%</t>
        </is>
      </c>
      <c r="C11" s="70" t="inlineStr">
        <is>
          <t>Proporção estimada de proteína</t>
        </is>
      </c>
      <c r="D11" s="70" t="inlineStr">
        <is>
          <t>144 de 144 leituras</t>
        </is>
      </c>
      <c r="E11" s="70" t="inlineStr">
        <is>
          <t>aplicação</t>
        </is>
      </c>
      <c r="F11" s="70" t="inlineStr">
        <is>
          <t>ProteinRatio</t>
        </is>
      </c>
    </row>
    <row r="12">
      <c r="A12" s="70" t="inlineStr">
        <is>
          <t>Massa proteica</t>
        </is>
      </c>
      <c r="B12" s="70" t="inlineStr">
        <is>
          <t>kg</t>
        </is>
      </c>
      <c r="C12" s="70" t="inlineStr">
        <is>
          <t>Derivada pelo leitor: peso × proteína / 100</t>
        </is>
      </c>
      <c r="D12" s="70" t="inlineStr">
        <is>
          <t>144 de 144 leituras</t>
        </is>
      </c>
      <c r="E12" s="70" t="inlineStr">
        <is>
          <t>derivada</t>
        </is>
      </c>
      <c r="F12" s="70" t="inlineStr">
        <is>
          <t>ProteinMass</t>
        </is>
      </c>
    </row>
    <row r="13">
      <c r="A13" s="70" t="inlineStr">
        <is>
          <t>Gordura visceral</t>
        </is>
      </c>
      <c r="B13" s="70" t="inlineStr">
        <is>
          <t>índice</t>
        </is>
      </c>
      <c r="C13" s="70" t="inlineStr">
        <is>
          <t>Índice da aplicação; não é percentagem (inteiro no leitor)</t>
        </is>
      </c>
      <c r="D13" s="70" t="inlineStr">
        <is>
          <t>144 de 144 leituras</t>
        </is>
      </c>
      <c r="E13" s="70" t="inlineStr">
        <is>
          <t>aplicação</t>
        </is>
      </c>
      <c r="F13" s="70" t="inlineStr">
        <is>
          <t>VisceralFat</t>
        </is>
      </c>
    </row>
    <row r="14">
      <c r="A14" s="70" t="inlineStr">
        <is>
          <t>Metabolismo basal</t>
        </is>
      </c>
      <c r="B14" s="70" t="inlineStr">
        <is>
          <t>kcal/dia</t>
        </is>
      </c>
      <c r="C14" s="70" t="inlineStr">
        <is>
          <t>Estimativa de gasto basal (inteiro no leitor)</t>
        </is>
      </c>
      <c r="D14" s="70" t="inlineStr">
        <is>
          <t>144 de 144 leituras</t>
        </is>
      </c>
      <c r="E14" s="70" t="inlineStr">
        <is>
          <t>aplicação</t>
        </is>
      </c>
      <c r="F14" s="70" t="inlineStr">
        <is>
          <t>BasalMetabolism</t>
        </is>
      </c>
    </row>
    <row r="15">
      <c r="A15" s="70" t="inlineStr">
        <is>
          <t>Idade corporal</t>
        </is>
      </c>
      <c r="B15" s="70" t="inlineStr">
        <is>
          <t>anos</t>
        </is>
      </c>
      <c r="C15" s="70" t="inlineStr">
        <is>
          <t>Estimativa; não é idade cronológica</t>
        </is>
      </c>
      <c r="D15" s="70" t="inlineStr">
        <is>
          <t>144 de 144 leituras</t>
        </is>
      </c>
      <c r="E15" s="70" t="inlineStr">
        <is>
          <t>aplicação</t>
        </is>
      </c>
      <c r="F15" s="70" t="inlineStr">
        <is>
          <t>MetabolicAge</t>
        </is>
      </c>
    </row>
    <row r="16">
      <c r="A16" s="70" t="inlineStr">
        <is>
          <t>Pontuação corporal</t>
        </is>
      </c>
      <c r="B16" s="70" t="inlineStr">
        <is>
          <t>pontos</t>
        </is>
      </c>
      <c r="C16" s="70" t="inlineStr">
        <is>
          <t>Pontuação global da aplicação</t>
        </is>
      </c>
      <c r="D16" s="70" t="inlineStr">
        <is>
          <t>144 de 144 leituras</t>
        </is>
      </c>
      <c r="E16" s="70" t="inlineStr">
        <is>
          <t>aplicação</t>
        </is>
      </c>
      <c r="F16" s="70" t="inlineStr">
        <is>
          <t>BodyScore</t>
        </is>
      </c>
    </row>
    <row r="17">
      <c r="A17" s="70" t="inlineStr">
        <is>
          <t>Classificação física</t>
        </is>
      </c>
      <c r="B17" s="70" t="inlineStr">
        <is>
          <t>código</t>
        </is>
      </c>
      <c r="C17" s="70" t="inlineStr">
        <is>
          <t>Código original, sem interpretação documentada</t>
        </is>
      </c>
      <c r="D17" s="70" t="inlineStr">
        <is>
          <t>0 de 144 leituras</t>
        </is>
      </c>
      <c r="E17" s="70" t="inlineStr">
        <is>
          <t>aplicação</t>
        </is>
      </c>
      <c r="F17" s="70" t="inlineStr">
        <is>
          <t>PhysiqueRating</t>
        </is>
      </c>
    </row>
    <row r="18">
      <c r="A18" s="70" t="inlineStr">
        <is>
          <t>Peso padrão</t>
        </is>
      </c>
      <c r="B18" s="70" t="inlineStr">
        <is>
          <t>kg</t>
        </is>
      </c>
      <c r="C18" s="70" t="inlineStr">
        <is>
          <t>Referência da aplicação; não é um objetivo individual</t>
        </is>
      </c>
      <c r="D18" s="70" t="inlineStr">
        <is>
          <t>144 de 144 leituras</t>
        </is>
      </c>
      <c r="E18" s="70" t="inlineStr">
        <is>
          <t>aplicação</t>
        </is>
      </c>
      <c r="F18" s="70" t="inlineStr">
        <is>
          <t>StandBodyWeight</t>
        </is>
      </c>
    </row>
    <row r="19">
      <c r="A19" s="70" t="inlineStr">
        <is>
          <t>Impedância</t>
        </is>
      </c>
      <c r="B19" s="70" t="inlineStr">
        <is>
          <t>Ω</t>
        </is>
      </c>
      <c r="C19" s="70" t="inlineStr">
        <is>
          <t>Impedância registada pela balança</t>
        </is>
      </c>
      <c r="D19" s="70" t="inlineStr">
        <is>
          <t>144 de 144 leituras</t>
        </is>
      </c>
      <c r="E19" s="70" t="inlineStr">
        <is>
          <t>balança</t>
        </is>
      </c>
      <c r="F19" s="70" t="inlineStr">
        <is>
          <t>Impedance</t>
        </is>
      </c>
    </row>
    <row r="20">
      <c r="A20" s="70" t="inlineStr">
        <is>
          <t>Massa gorda</t>
        </is>
      </c>
      <c r="B20" s="70" t="inlineStr">
        <is>
          <t>kg</t>
        </is>
      </c>
      <c r="C20" s="70" t="inlineStr">
        <is>
          <t>Peso × gordura / 100</t>
        </is>
      </c>
      <c r="D20" s="70" t="inlineStr">
        <is>
          <t>144 leituras</t>
        </is>
      </c>
      <c r="E20" s="70" t="inlineStr">
        <is>
          <t>derivada</t>
        </is>
      </c>
      <c r="F20" s="70" t="inlineStr">
        <is>
          <t>—</t>
        </is>
      </c>
    </row>
    <row r="21">
      <c r="A21" s="70" t="inlineStr">
        <is>
          <t>Médias de 7 dias</t>
        </is>
      </c>
      <c r="B21" s="70" t="inlineStr">
        <is>
          <t>kg / %</t>
        </is>
      </c>
      <c r="C21" s="70" t="inlineStr">
        <is>
          <t>Média das leituras em ]t − 7 dias, t]</t>
        </is>
      </c>
      <c r="D21" s="70" t="inlineStr">
        <is>
          <t>144 leituras</t>
        </is>
      </c>
      <c r="E21" s="70" t="inlineStr">
        <is>
          <t>derivada</t>
        </is>
      </c>
      <c r="F21" s="70" t="inlineStr">
        <is>
          <t>—</t>
        </is>
      </c>
    </row>
    <row r="22">
      <c r="A22" s="70" t="inlineStr">
        <is>
          <t>Cintura</t>
        </is>
      </c>
      <c r="B22" s="70" t="inlineStr">
        <is>
          <t>cm</t>
        </is>
      </c>
      <c r="C22" s="70" t="inlineStr">
        <is>
          <t>Circunferência ao nível do umbigo (média de 3 leituras)</t>
        </is>
      </c>
      <c r="D22" s="70" t="inlineStr">
        <is>
          <t>17 de 22 semanas</t>
        </is>
      </c>
      <c r="E22" s="70" t="inlineStr">
        <is>
          <t>manual</t>
        </is>
      </c>
      <c r="F22" s="70" t="inlineStr">
        <is>
          <t>—</t>
        </is>
      </c>
    </row>
    <row r="23">
      <c r="A23" s="70" t="inlineStr">
        <is>
          <t>Pescoço</t>
        </is>
      </c>
      <c r="B23" s="70" t="inlineStr">
        <is>
          <t>cm</t>
        </is>
      </c>
      <c r="C23" s="70" t="inlineStr">
        <is>
          <t>Circunferência do pescoço (média de 3 leituras)</t>
        </is>
      </c>
      <c r="D23" s="70" t="inlineStr">
        <is>
          <t>17 de 22 semanas</t>
        </is>
      </c>
      <c r="E23" s="70" t="inlineStr">
        <is>
          <t>manual</t>
        </is>
      </c>
      <c r="F23" s="70" t="inlineStr">
        <is>
          <t>—</t>
        </is>
      </c>
    </row>
    <row r="25">
      <c r="A25" s="71" t="inlineStr">
        <is>
          <t>Regras</t>
        </is>
      </c>
    </row>
    <row r="26" ht="30" customHeight="1">
      <c r="A26" s="72" t="inlineStr">
        <is>
          <t>Início</t>
        </is>
      </c>
      <c r="B26" s="73" t="inlineStr">
        <is>
          <t>Leituras com data local a partir de 04/01/2026 (Europe/Lisbon).</t>
        </is>
      </c>
    </row>
    <row r="27" ht="30" customHeight="1">
      <c r="A27" s="72" t="inlineStr">
        <is>
          <t>Protocolo de pesagem</t>
        </is>
      </c>
      <c r="B27" s="73" t="inlineStr">
        <is>
          <t>Ao acordar, depois de ir à casa de banho.</t>
        </is>
      </c>
    </row>
    <row r="28" ht="30" customHeight="1">
      <c r="A28" s="72" t="inlineStr">
        <is>
          <t>Perfil</t>
        </is>
      </c>
      <c r="B28" s="73" t="inlineStr">
        <is>
          <t>Titular: identificador Zepp -1 (o leitor pede apenas este membro). Exportações antigas sem identificador: altura 178 cm.</t>
        </is>
      </c>
    </row>
    <row r="29" ht="30" customHeight="1">
      <c r="A29" s="72" t="inlineStr">
        <is>
          <t>Composição completa</t>
        </is>
      </c>
      <c r="B29" s="73" t="inlineStr">
        <is>
          <t>IMC, gordura, água, massa óssea, metabolismo, músculo, visceral, proteína, massa proteica, idade corporal e pontuação com valores numéricos.</t>
        </is>
      </c>
    </row>
    <row r="30" ht="30" customHeight="1">
      <c r="A30" s="72" t="inlineStr">
        <is>
          <t>Plausibilidade</t>
        </is>
      </c>
      <c r="B30" s="73" t="inlineStr">
        <is>
          <t>Weight 30–250; BMI 10–60; BodyFat 2–70; BodyWater 25–80; BoneMass 0.5–8; MuscleMass 15–150; ProteinRatio 5–35; VisceralFat 1–59; BasalMetabolism 700–4500; MetabolicAge 10–100; BodyScore 0–100</t>
        </is>
      </c>
    </row>
    <row r="31" ht="30" customHeight="1">
      <c r="A31" s="72" t="inlineStr">
        <is>
          <t>Semanas</t>
        </is>
      </c>
      <c r="B31" s="73" t="inlineStr">
        <is>
          <t>Domingo a sábado, em hora local.</t>
        </is>
      </c>
    </row>
    <row r="32" ht="30" customHeight="1">
      <c r="A32" s="72" t="inlineStr">
        <is>
          <t>Médias</t>
        </is>
      </c>
      <c r="B32" s="73" t="inlineStr">
        <is>
          <t>Por leitura (não por dia). 'Dias com medição' mostra quantos dias distintos contribuíram.</t>
        </is>
      </c>
    </row>
    <row r="33" ht="30" customHeight="1">
      <c r="A33" s="72" t="inlineStr">
        <is>
          <t>Contagens</t>
        </is>
      </c>
      <c r="B33" s="73" t="inlineStr">
        <is>
          <t>origem 155 · anteriores ao início 5 · incompletas 6 · implausíveis 0 · outro perfil 0 · aceites 144</t>
        </is>
      </c>
    </row>
    <row r="34" ht="30" customHeight="1">
      <c r="A34" s="72" t="inlineStr">
        <is>
          <t>Limites</t>
        </is>
      </c>
      <c r="B34" s="73" t="inlineStr">
        <is>
          <t>Composição, idade e pontuação são estimativas da aplicação, não diagnósticos clínicos.</t>
        </is>
      </c>
    </row>
    <row r="35" ht="30" customHeight="1">
      <c r="A35" s="72" t="inlineStr">
        <is>
          <t>Atualização</t>
        </is>
      </c>
      <c r="B35" s="73" t="inlineStr">
        <is>
          <t>Sincronizar a Zepp Life, guardar e fechar o Excel e executar ATUALIZAR-EXCEL.cmd. Depois de editar só medidas manuais: RECALCULAR-SEM-DESCARREGAR.cmd.</t>
        </is>
      </c>
    </row>
    <row r="37">
      <c r="A37" s="71" t="inlineStr">
        <is>
          <t>Pesagens excluídas desde o início (6)</t>
        </is>
      </c>
    </row>
    <row r="38" ht="24" customHeight="1">
      <c r="A38" s="50" t="inlineStr">
        <is>
          <t>Data/hora</t>
        </is>
      </c>
      <c r="B38" s="50" t="inlineStr">
        <is>
          <t>Peso (kg)</t>
        </is>
      </c>
      <c r="C38" s="50" t="inlineStr">
        <is>
          <t>Motivo</t>
        </is>
      </c>
    </row>
    <row r="39">
      <c r="A39" s="74" t="n">
        <v>46060.64861111111</v>
      </c>
      <c r="B39" s="75" t="n">
        <v>83.06999999999999</v>
      </c>
      <c r="C39" s="76" t="inlineStr">
        <is>
          <t>composição incompleta: só peso, sem bioimpedância</t>
        </is>
      </c>
    </row>
    <row r="40">
      <c r="A40" s="74" t="n">
        <v>46083.51041666666</v>
      </c>
      <c r="B40" s="75" t="n">
        <v>81.98</v>
      </c>
      <c r="C40" s="76" t="inlineStr">
        <is>
          <t>composição incompleta: só peso, sem bioimpedância</t>
        </is>
      </c>
    </row>
    <row r="41">
      <c r="A41" s="74" t="n">
        <v>46106.50208333333</v>
      </c>
      <c r="B41" s="75" t="n">
        <v>81.03</v>
      </c>
      <c r="C41" s="76" t="inlineStr">
        <is>
          <t>composição incompleta: só peso, sem bioimpedância</t>
        </is>
      </c>
    </row>
    <row r="42">
      <c r="A42" s="74" t="n">
        <v>46129.51666666667</v>
      </c>
      <c r="B42" s="75" t="n">
        <v>79.92</v>
      </c>
      <c r="C42" s="76" t="inlineStr">
        <is>
          <t>composição incompleta: só peso, sem bioimpedância</t>
        </is>
      </c>
    </row>
    <row r="43">
      <c r="A43" s="74" t="n">
        <v>46152.65833333333</v>
      </c>
      <c r="B43" s="75" t="n">
        <v>78.62</v>
      </c>
      <c r="C43" s="76" t="inlineStr">
        <is>
          <t>composição incompleta: só peso, sem bioimpedância</t>
        </is>
      </c>
    </row>
    <row r="44">
      <c r="A44" s="74" t="n">
        <v>46175.50138888889</v>
      </c>
      <c r="B44" s="75" t="n">
        <v>77.26000000000001</v>
      </c>
      <c r="C44" s="76" t="inlineStr">
        <is>
          <t>composição incompleta: só peso, sem bioimpedância</t>
        </is>
      </c>
    </row>
  </sheetData>
  <mergeCells count="12">
    <mergeCell ref="B30:F30"/>
    <mergeCell ref="A2:F2"/>
    <mergeCell ref="B29:F29"/>
    <mergeCell ref="B34:F34"/>
    <mergeCell ref="B33:F33"/>
    <mergeCell ref="A1:F1"/>
    <mergeCell ref="B28:F28"/>
    <mergeCell ref="B31:F31"/>
    <mergeCell ref="B32:F32"/>
    <mergeCell ref="B26:F26"/>
    <mergeCell ref="B27:F27"/>
    <mergeCell ref="B35:F35"/>
  </mergeCells>
  <pageMargins left="0.75" right="0.75" top="1" bottom="1" header="0.5" footer="0.5"/>
  <ignoredErrors>
    <ignoredError sqref="A1:Z3000" formula="1" formulaRange="1" numberStoredAsText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zepp-life-excel-ia</dc:creator>
  <dc:title>Transformação corporal</dc:title>
  <dcterms:created xsi:type="dcterms:W3CDTF">2026-10-11T15:40:04Z</dcterms:created>
  <dcterms:modified xsi:type="dcterms:W3CDTF">2026-10-11T15:40:05Z</dcterms:modified>
</cp:coreProperties>
</file>